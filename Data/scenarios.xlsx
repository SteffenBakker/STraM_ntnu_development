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steffejb_ntnu_no/Documents/Work/GitHub/STraM_ntnu_development/Data/"/>
    </mc:Choice>
  </mc:AlternateContent>
  <xr:revisionPtr revIDLastSave="4" documentId="13_ncr:1_{5252CC3E-A50E-4DB5-8DFA-66AD561181FE}" xr6:coauthVersionLast="47" xr6:coauthVersionMax="47" xr10:uidLastSave="{E627CD8D-28A9-4B73-A7CF-91A9ACBBBFAE}"/>
  <bookViews>
    <workbookView xWindow="14400" yWindow="0" windowWidth="28800" windowHeight="23400" xr2:uid="{00000000-000D-0000-FFFF-FFFF00000000}"/>
  </bookViews>
  <sheets>
    <sheet name="cost_factor" sheetId="10" r:id="rId1"/>
    <sheet name="demand_factor" sheetId="15" r:id="rId2"/>
    <sheet name="fuel_scenarios" sheetId="11" r:id="rId3"/>
    <sheet name="fuel_scenarios_5" sheetId="14" r:id="rId4"/>
    <sheet name="fuel_scenarios_demand" sheetId="13" r:id="rId5"/>
    <sheet name="fuel_scenario_det" sheetId="12" r:id="rId6"/>
    <sheet name="scenarios_base" sheetId="8" r:id="rId7"/>
    <sheet name="nine_scenarios" sheetId="9" r:id="rId8"/>
    <sheet name="four_scenarios" sheetId="4" r:id="rId9"/>
    <sheet name="EV_scenario" sheetId="6" r:id="rId10"/>
    <sheet name="variability" sheetId="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14" l="1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" i="14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" i="13"/>
  <c r="C10" i="11"/>
  <c r="C9" i="11"/>
  <c r="C8" i="11"/>
  <c r="C7" i="11"/>
  <c r="C6" i="11"/>
  <c r="C5" i="11"/>
  <c r="C4" i="11"/>
  <c r="C3" i="11"/>
  <c r="C2" i="11"/>
  <c r="C10" i="9"/>
  <c r="C9" i="9"/>
  <c r="C8" i="9"/>
  <c r="C7" i="9"/>
  <c r="C6" i="9"/>
  <c r="C5" i="9"/>
  <c r="C4" i="9"/>
  <c r="C3" i="9"/>
  <c r="C2" i="9"/>
  <c r="C3" i="4"/>
  <c r="C4" i="4"/>
  <c r="C5" i="4"/>
  <c r="C2" i="4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</calcChain>
</file>

<file path=xl/sharedStrings.xml><?xml version="1.0" encoding="utf-8"?>
<sst xmlns="http://schemas.openxmlformats.org/spreadsheetml/2006/main" count="3672" uniqueCount="71">
  <si>
    <t>Variability</t>
  </si>
  <si>
    <t>Scenario</t>
  </si>
  <si>
    <t>Mode</t>
  </si>
  <si>
    <t>Product Group</t>
  </si>
  <si>
    <t>Fuel</t>
  </si>
  <si>
    <t>Established</t>
  </si>
  <si>
    <t>B</t>
  </si>
  <si>
    <t>Road</t>
  </si>
  <si>
    <t>Dry bulk</t>
  </si>
  <si>
    <t>Diesel</t>
  </si>
  <si>
    <t>Battery</t>
  </si>
  <si>
    <t>Hydrogen</t>
  </si>
  <si>
    <t>Liquid bulk</t>
  </si>
  <si>
    <t>Container</t>
  </si>
  <si>
    <t>Break bulk</t>
  </si>
  <si>
    <t>O</t>
  </si>
  <si>
    <t>P</t>
  </si>
  <si>
    <t>Rail</t>
  </si>
  <si>
    <t>Catenary</t>
  </si>
  <si>
    <t>Sea</t>
  </si>
  <si>
    <t>Ammonia</t>
  </si>
  <si>
    <t>Methanol</t>
  </si>
  <si>
    <t>Name</t>
  </si>
  <si>
    <t>Probability</t>
  </si>
  <si>
    <t>OOO</t>
  </si>
  <si>
    <t>OOB</t>
  </si>
  <si>
    <t>OOP</t>
  </si>
  <si>
    <t>OBO</t>
  </si>
  <si>
    <t>OBB</t>
  </si>
  <si>
    <t>OBP</t>
  </si>
  <si>
    <t>OPO</t>
  </si>
  <si>
    <t>OPB</t>
  </si>
  <si>
    <t>OPP</t>
  </si>
  <si>
    <t>BOO</t>
  </si>
  <si>
    <t>BOB</t>
  </si>
  <si>
    <t>BOP</t>
  </si>
  <si>
    <t>BBO</t>
  </si>
  <si>
    <t>BBB</t>
  </si>
  <si>
    <t>BBP</t>
  </si>
  <si>
    <t>BPO</t>
  </si>
  <si>
    <t>BPB</t>
  </si>
  <si>
    <t>BPP</t>
  </si>
  <si>
    <t>POO</t>
  </si>
  <si>
    <t>POB</t>
  </si>
  <si>
    <t>POP</t>
  </si>
  <si>
    <t>PBO</t>
  </si>
  <si>
    <t>PBB</t>
  </si>
  <si>
    <t>PBP</t>
  </si>
  <si>
    <t>PPO</t>
  </si>
  <si>
    <t>PPB</t>
  </si>
  <si>
    <t>PPP</t>
  </si>
  <si>
    <t>Time Period</t>
  </si>
  <si>
    <t>Cost Factor</t>
  </si>
  <si>
    <t>Neo bulk</t>
  </si>
  <si>
    <t>MGO</t>
  </si>
  <si>
    <t>HFO</t>
  </si>
  <si>
    <t>Fossil</t>
  </si>
  <si>
    <t>Electricity</t>
  </si>
  <si>
    <t>OO</t>
  </si>
  <si>
    <t>OB</t>
  </si>
  <si>
    <t>OP</t>
  </si>
  <si>
    <t>BO</t>
  </si>
  <si>
    <t>BB</t>
  </si>
  <si>
    <t>BP</t>
  </si>
  <si>
    <t>PO</t>
  </si>
  <si>
    <t>PB</t>
  </si>
  <si>
    <t>PP</t>
  </si>
  <si>
    <t>Demand</t>
  </si>
  <si>
    <t>E</t>
  </si>
  <si>
    <t>N</t>
  </si>
  <si>
    <t>Damand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</si>
</sst>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6" fontId="0" fillId="0" borderId="0" xfId="0" applyNumberFormat="1"/>
    <xf numFmtId="2" fontId="0" fillId="0" borderId="0" xfId="0" applyNumberFormat="1"/>
  </cellXfs>
  <cellStyles count="4">
    <cellStyle name="Comma 2" xfId="1" xr:uid="{54803212-4297-448F-BE53-8B7D8F7C8A2B}"/>
    <cellStyle name="Currency 2" xfId="2" xr:uid="{269E1C6F-1677-41A1-B82E-8AAF7A21B271}"/>
    <cellStyle name="Normal" xfId="0" builtinId="0"/>
    <cellStyle name="Per cent 2" xfId="3" xr:uid="{3D5C86B7-4F0F-4CBA-973F-837304059A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B08C-45D2-4F7F-A1A1-F485128869A7}">
  <dimension ref="A1:G824"/>
  <sheetViews>
    <sheetView tabSelected="1" topLeftCell="A497" zoomScale="115" zoomScaleNormal="115" workbookViewId="0">
      <selection activeCell="F525" sqref="F525"/>
    </sheetView>
  </sheetViews>
  <sheetFormatPr defaultRowHeight="15" x14ac:dyDescent="0.25"/>
  <cols>
    <col min="1" max="1" width="8.28515625" bestFit="1" customWidth="1"/>
    <col min="2" max="2" width="11.28515625" bestFit="1" customWidth="1"/>
    <col min="3" max="3" width="10.140625" bestFit="1" customWidth="1"/>
    <col min="4" max="4" width="13.42578125" bestFit="1" customWidth="1"/>
    <col min="5" max="5" width="16.85546875" customWidth="1"/>
    <col min="6" max="6" width="12" bestFit="1" customWidth="1"/>
  </cols>
  <sheetData>
    <row r="1" spans="1:6" x14ac:dyDescent="0.25">
      <c r="A1" s="1" t="s">
        <v>1</v>
      </c>
      <c r="B1" s="1" t="s">
        <v>51</v>
      </c>
      <c r="C1" s="1" t="s">
        <v>2</v>
      </c>
      <c r="D1" s="1" t="s">
        <v>3</v>
      </c>
      <c r="E1" s="1" t="s">
        <v>4</v>
      </c>
      <c r="F1" s="1" t="s">
        <v>52</v>
      </c>
    </row>
    <row r="2" spans="1:6" x14ac:dyDescent="0.25">
      <c r="A2" t="s">
        <v>6</v>
      </c>
      <c r="B2">
        <v>2023</v>
      </c>
      <c r="C2" t="s">
        <v>7</v>
      </c>
      <c r="D2" t="s">
        <v>8</v>
      </c>
      <c r="E2" t="s">
        <v>9</v>
      </c>
      <c r="F2" s="3">
        <v>1</v>
      </c>
    </row>
    <row r="3" spans="1:6" x14ac:dyDescent="0.25">
      <c r="A3" t="s">
        <v>6</v>
      </c>
      <c r="B3">
        <v>2023</v>
      </c>
      <c r="C3" t="s">
        <v>7</v>
      </c>
      <c r="D3" t="s">
        <v>8</v>
      </c>
      <c r="E3" t="s">
        <v>10</v>
      </c>
      <c r="F3" s="3">
        <v>1</v>
      </c>
    </row>
    <row r="4" spans="1:6" x14ac:dyDescent="0.25">
      <c r="A4" t="s">
        <v>6</v>
      </c>
      <c r="B4">
        <v>2023</v>
      </c>
      <c r="C4" t="s">
        <v>7</v>
      </c>
      <c r="D4" t="s">
        <v>8</v>
      </c>
      <c r="E4" t="s">
        <v>11</v>
      </c>
      <c r="F4" s="3">
        <v>1</v>
      </c>
    </row>
    <row r="5" spans="1:6" x14ac:dyDescent="0.25">
      <c r="A5" t="s">
        <v>6</v>
      </c>
      <c r="B5">
        <v>2023</v>
      </c>
      <c r="C5" t="s">
        <v>7</v>
      </c>
      <c r="D5" t="s">
        <v>12</v>
      </c>
      <c r="E5" t="s">
        <v>9</v>
      </c>
      <c r="F5" s="3">
        <v>1</v>
      </c>
    </row>
    <row r="6" spans="1:6" x14ac:dyDescent="0.25">
      <c r="A6" t="s">
        <v>6</v>
      </c>
      <c r="B6">
        <v>2023</v>
      </c>
      <c r="C6" t="s">
        <v>7</v>
      </c>
      <c r="D6" t="s">
        <v>12</v>
      </c>
      <c r="E6" t="s">
        <v>10</v>
      </c>
      <c r="F6" s="3">
        <v>1</v>
      </c>
    </row>
    <row r="7" spans="1:6" x14ac:dyDescent="0.25">
      <c r="A7" t="s">
        <v>6</v>
      </c>
      <c r="B7">
        <v>2023</v>
      </c>
      <c r="C7" t="s">
        <v>7</v>
      </c>
      <c r="D7" t="s">
        <v>12</v>
      </c>
      <c r="E7" t="s">
        <v>11</v>
      </c>
      <c r="F7" s="3">
        <v>1</v>
      </c>
    </row>
    <row r="8" spans="1:6" x14ac:dyDescent="0.25">
      <c r="A8" t="s">
        <v>6</v>
      </c>
      <c r="B8">
        <v>2023</v>
      </c>
      <c r="C8" t="s">
        <v>7</v>
      </c>
      <c r="D8" t="s">
        <v>13</v>
      </c>
      <c r="E8" t="s">
        <v>9</v>
      </c>
      <c r="F8" s="3">
        <v>1</v>
      </c>
    </row>
    <row r="9" spans="1:6" x14ac:dyDescent="0.25">
      <c r="A9" t="s">
        <v>6</v>
      </c>
      <c r="B9">
        <v>2023</v>
      </c>
      <c r="C9" t="s">
        <v>7</v>
      </c>
      <c r="D9" t="s">
        <v>13</v>
      </c>
      <c r="E9" t="s">
        <v>10</v>
      </c>
      <c r="F9" s="3">
        <v>1</v>
      </c>
    </row>
    <row r="10" spans="1:6" x14ac:dyDescent="0.25">
      <c r="A10" t="s">
        <v>6</v>
      </c>
      <c r="B10">
        <v>2023</v>
      </c>
      <c r="C10" t="s">
        <v>7</v>
      </c>
      <c r="D10" t="s">
        <v>13</v>
      </c>
      <c r="E10" t="s">
        <v>11</v>
      </c>
      <c r="F10" s="3">
        <v>1</v>
      </c>
    </row>
    <row r="11" spans="1:6" x14ac:dyDescent="0.25">
      <c r="A11" t="s">
        <v>6</v>
      </c>
      <c r="B11">
        <v>2023</v>
      </c>
      <c r="C11" t="s">
        <v>7</v>
      </c>
      <c r="D11" t="s">
        <v>14</v>
      </c>
      <c r="E11" t="s">
        <v>9</v>
      </c>
      <c r="F11" s="3">
        <v>1</v>
      </c>
    </row>
    <row r="12" spans="1:6" x14ac:dyDescent="0.25">
      <c r="A12" t="s">
        <v>6</v>
      </c>
      <c r="B12">
        <v>2023</v>
      </c>
      <c r="C12" t="s">
        <v>7</v>
      </c>
      <c r="D12" t="s">
        <v>14</v>
      </c>
      <c r="E12" t="s">
        <v>10</v>
      </c>
      <c r="F12" s="3">
        <v>1</v>
      </c>
    </row>
    <row r="13" spans="1:6" x14ac:dyDescent="0.25">
      <c r="A13" t="s">
        <v>6</v>
      </c>
      <c r="B13">
        <v>2023</v>
      </c>
      <c r="C13" t="s">
        <v>7</v>
      </c>
      <c r="D13" t="s">
        <v>14</v>
      </c>
      <c r="E13" t="s">
        <v>11</v>
      </c>
      <c r="F13" s="3">
        <v>1</v>
      </c>
    </row>
    <row r="14" spans="1:6" x14ac:dyDescent="0.25">
      <c r="A14" t="s">
        <v>6</v>
      </c>
      <c r="B14">
        <v>2023</v>
      </c>
      <c r="C14" t="s">
        <v>7</v>
      </c>
      <c r="D14" t="s">
        <v>53</v>
      </c>
      <c r="E14" t="s">
        <v>9</v>
      </c>
      <c r="F14" s="3">
        <v>1</v>
      </c>
    </row>
    <row r="15" spans="1:6" x14ac:dyDescent="0.25">
      <c r="A15" t="s">
        <v>6</v>
      </c>
      <c r="B15">
        <v>2023</v>
      </c>
      <c r="C15" t="s">
        <v>7</v>
      </c>
      <c r="D15" t="s">
        <v>53</v>
      </c>
      <c r="E15" t="s">
        <v>10</v>
      </c>
      <c r="F15" s="3">
        <v>1</v>
      </c>
    </row>
    <row r="16" spans="1:6" x14ac:dyDescent="0.25">
      <c r="A16" t="s">
        <v>6</v>
      </c>
      <c r="B16">
        <v>2023</v>
      </c>
      <c r="C16" t="s">
        <v>7</v>
      </c>
      <c r="D16" t="s">
        <v>53</v>
      </c>
      <c r="E16" t="s">
        <v>11</v>
      </c>
      <c r="F16" s="3">
        <v>1</v>
      </c>
    </row>
    <row r="17" spans="1:6" x14ac:dyDescent="0.25">
      <c r="A17" t="s">
        <v>15</v>
      </c>
      <c r="B17">
        <v>2023</v>
      </c>
      <c r="C17" t="s">
        <v>7</v>
      </c>
      <c r="D17" t="s">
        <v>8</v>
      </c>
      <c r="E17" t="s">
        <v>9</v>
      </c>
      <c r="F17" s="3">
        <v>0.99123237747595705</v>
      </c>
    </row>
    <row r="18" spans="1:6" x14ac:dyDescent="0.25">
      <c r="A18" t="s">
        <v>15</v>
      </c>
      <c r="B18">
        <v>2023</v>
      </c>
      <c r="C18" t="s">
        <v>7</v>
      </c>
      <c r="D18" t="s">
        <v>8</v>
      </c>
      <c r="E18" t="s">
        <v>10</v>
      </c>
      <c r="F18" s="3">
        <v>0.99694703157228148</v>
      </c>
    </row>
    <row r="19" spans="1:6" x14ac:dyDescent="0.25">
      <c r="A19" t="s">
        <v>15</v>
      </c>
      <c r="B19">
        <v>2023</v>
      </c>
      <c r="C19" t="s">
        <v>7</v>
      </c>
      <c r="D19" t="s">
        <v>8</v>
      </c>
      <c r="E19" t="s">
        <v>11</v>
      </c>
      <c r="F19" s="3">
        <v>0.99328002441193364</v>
      </c>
    </row>
    <row r="20" spans="1:6" x14ac:dyDescent="0.25">
      <c r="A20" t="s">
        <v>15</v>
      </c>
      <c r="B20">
        <v>2023</v>
      </c>
      <c r="C20" t="s">
        <v>7</v>
      </c>
      <c r="D20" t="s">
        <v>12</v>
      </c>
      <c r="E20" t="s">
        <v>9</v>
      </c>
      <c r="F20" s="3">
        <v>0.98475396800030846</v>
      </c>
    </row>
    <row r="21" spans="1:6" x14ac:dyDescent="0.25">
      <c r="A21" t="s">
        <v>15</v>
      </c>
      <c r="B21">
        <v>2023</v>
      </c>
      <c r="C21" t="s">
        <v>7</v>
      </c>
      <c r="D21" t="s">
        <v>12</v>
      </c>
      <c r="E21" t="s">
        <v>10</v>
      </c>
      <c r="F21" s="3">
        <v>0.99443430171316261</v>
      </c>
    </row>
    <row r="22" spans="1:6" x14ac:dyDescent="0.25">
      <c r="A22" t="s">
        <v>15</v>
      </c>
      <c r="B22">
        <v>2023</v>
      </c>
      <c r="C22" t="s">
        <v>7</v>
      </c>
      <c r="D22" t="s">
        <v>12</v>
      </c>
      <c r="E22" t="s">
        <v>11</v>
      </c>
      <c r="F22" s="3">
        <v>0.98859305864777691</v>
      </c>
    </row>
    <row r="23" spans="1:6" x14ac:dyDescent="0.25">
      <c r="A23" t="s">
        <v>15</v>
      </c>
      <c r="B23">
        <v>2023</v>
      </c>
      <c r="C23" t="s">
        <v>7</v>
      </c>
      <c r="D23" t="s">
        <v>13</v>
      </c>
      <c r="E23" t="s">
        <v>9</v>
      </c>
      <c r="F23" s="3">
        <v>0.98489529588568936</v>
      </c>
    </row>
    <row r="24" spans="1:6" x14ac:dyDescent="0.25">
      <c r="A24" t="s">
        <v>15</v>
      </c>
      <c r="B24">
        <v>2023</v>
      </c>
      <c r="C24" t="s">
        <v>7</v>
      </c>
      <c r="D24" t="s">
        <v>13</v>
      </c>
      <c r="E24" t="s">
        <v>10</v>
      </c>
      <c r="F24" s="3">
        <v>0.99452766196037456</v>
      </c>
    </row>
    <row r="25" spans="1:6" x14ac:dyDescent="0.25">
      <c r="A25" t="s">
        <v>15</v>
      </c>
      <c r="B25">
        <v>2023</v>
      </c>
      <c r="C25" t="s">
        <v>7</v>
      </c>
      <c r="D25" t="s">
        <v>13</v>
      </c>
      <c r="E25" t="s">
        <v>11</v>
      </c>
      <c r="F25" s="3">
        <v>0.98877174458275574</v>
      </c>
    </row>
    <row r="26" spans="1:6" x14ac:dyDescent="0.25">
      <c r="A26" t="s">
        <v>15</v>
      </c>
      <c r="B26">
        <v>2023</v>
      </c>
      <c r="C26" t="s">
        <v>7</v>
      </c>
      <c r="D26" t="s">
        <v>14</v>
      </c>
      <c r="E26" t="s">
        <v>9</v>
      </c>
      <c r="F26" s="3">
        <v>0.98820136773318645</v>
      </c>
    </row>
    <row r="27" spans="1:6" x14ac:dyDescent="0.25">
      <c r="A27" t="s">
        <v>15</v>
      </c>
      <c r="B27">
        <v>2023</v>
      </c>
      <c r="C27" t="s">
        <v>7</v>
      </c>
      <c r="D27" t="s">
        <v>14</v>
      </c>
      <c r="E27" t="s">
        <v>10</v>
      </c>
      <c r="F27" s="3">
        <v>0.99581006248616732</v>
      </c>
    </row>
    <row r="28" spans="1:6" x14ac:dyDescent="0.25">
      <c r="A28" t="s">
        <v>15</v>
      </c>
      <c r="B28">
        <v>2023</v>
      </c>
      <c r="C28" t="s">
        <v>7</v>
      </c>
      <c r="D28" t="s">
        <v>14</v>
      </c>
      <c r="E28" t="s">
        <v>11</v>
      </c>
      <c r="F28" s="3">
        <v>0.99108020374294459</v>
      </c>
    </row>
    <row r="29" spans="1:6" x14ac:dyDescent="0.25">
      <c r="A29" t="s">
        <v>15</v>
      </c>
      <c r="B29">
        <v>2023</v>
      </c>
      <c r="C29" t="s">
        <v>7</v>
      </c>
      <c r="D29" t="s">
        <v>53</v>
      </c>
      <c r="E29" t="s">
        <v>9</v>
      </c>
      <c r="F29" s="3">
        <v>0.98667751610584209</v>
      </c>
    </row>
    <row r="30" spans="1:6" x14ac:dyDescent="0.25">
      <c r="A30" t="s">
        <v>15</v>
      </c>
      <c r="B30">
        <v>2023</v>
      </c>
      <c r="C30" t="s">
        <v>7</v>
      </c>
      <c r="D30" t="s">
        <v>53</v>
      </c>
      <c r="E30" t="s">
        <v>10</v>
      </c>
      <c r="F30" s="3">
        <v>0.99522677138077864</v>
      </c>
    </row>
    <row r="31" spans="1:6" x14ac:dyDescent="0.25">
      <c r="A31" t="s">
        <v>15</v>
      </c>
      <c r="B31">
        <v>2023</v>
      </c>
      <c r="C31" t="s">
        <v>7</v>
      </c>
      <c r="D31" t="s">
        <v>53</v>
      </c>
      <c r="E31" t="s">
        <v>11</v>
      </c>
      <c r="F31" s="3">
        <v>0.99000935421338521</v>
      </c>
    </row>
    <row r="32" spans="1:6" x14ac:dyDescent="0.25">
      <c r="A32" t="s">
        <v>16</v>
      </c>
      <c r="B32">
        <v>2023</v>
      </c>
      <c r="C32" t="s">
        <v>7</v>
      </c>
      <c r="D32" t="s">
        <v>8</v>
      </c>
      <c r="E32" t="s">
        <v>9</v>
      </c>
      <c r="F32" s="3">
        <v>1.0030138702426397</v>
      </c>
    </row>
    <row r="33" spans="1:6" x14ac:dyDescent="0.25">
      <c r="A33" t="s">
        <v>16</v>
      </c>
      <c r="B33">
        <v>2023</v>
      </c>
      <c r="C33" t="s">
        <v>7</v>
      </c>
      <c r="D33" t="s">
        <v>8</v>
      </c>
      <c r="E33" t="s">
        <v>10</v>
      </c>
      <c r="F33" s="3">
        <v>1.0069706504563516</v>
      </c>
    </row>
    <row r="34" spans="1:6" x14ac:dyDescent="0.25">
      <c r="A34" t="s">
        <v>16</v>
      </c>
      <c r="B34">
        <v>2023</v>
      </c>
      <c r="C34" t="s">
        <v>7</v>
      </c>
      <c r="D34" t="s">
        <v>8</v>
      </c>
      <c r="E34" t="s">
        <v>11</v>
      </c>
      <c r="F34" s="3">
        <v>1.0153432968629257</v>
      </c>
    </row>
    <row r="35" spans="1:6" x14ac:dyDescent="0.25">
      <c r="A35" t="s">
        <v>16</v>
      </c>
      <c r="B35">
        <v>2023</v>
      </c>
      <c r="C35" t="s">
        <v>7</v>
      </c>
      <c r="D35" t="s">
        <v>12</v>
      </c>
      <c r="E35" t="s">
        <v>9</v>
      </c>
      <c r="F35" s="3">
        <v>1.005240823499894</v>
      </c>
    </row>
    <row r="36" spans="1:6" x14ac:dyDescent="0.25">
      <c r="A36" t="s">
        <v>16</v>
      </c>
      <c r="B36">
        <v>2023</v>
      </c>
      <c r="C36" t="s">
        <v>7</v>
      </c>
      <c r="D36" t="s">
        <v>12</v>
      </c>
      <c r="E36" t="s">
        <v>10</v>
      </c>
      <c r="F36" s="3">
        <v>1.0127078082271725</v>
      </c>
    </row>
    <row r="37" spans="1:6" x14ac:dyDescent="0.25">
      <c r="A37" t="s">
        <v>16</v>
      </c>
      <c r="B37">
        <v>2023</v>
      </c>
      <c r="C37" t="s">
        <v>7</v>
      </c>
      <c r="D37" t="s">
        <v>12</v>
      </c>
      <c r="E37" t="s">
        <v>11</v>
      </c>
      <c r="F37" s="3">
        <v>1.0260447504862893</v>
      </c>
    </row>
    <row r="38" spans="1:6" x14ac:dyDescent="0.25">
      <c r="A38" t="s">
        <v>16</v>
      </c>
      <c r="B38">
        <v>2023</v>
      </c>
      <c r="C38" t="s">
        <v>7</v>
      </c>
      <c r="D38" t="s">
        <v>13</v>
      </c>
      <c r="E38" t="s">
        <v>9</v>
      </c>
      <c r="F38" s="3">
        <v>1.0051922420392942</v>
      </c>
    </row>
    <row r="39" spans="1:6" x14ac:dyDescent="0.25">
      <c r="A39" t="s">
        <v>16</v>
      </c>
      <c r="B39">
        <v>2023</v>
      </c>
      <c r="C39" t="s">
        <v>7</v>
      </c>
      <c r="D39" t="s">
        <v>13</v>
      </c>
      <c r="E39" t="s">
        <v>10</v>
      </c>
      <c r="F39" s="3">
        <v>1.0124946446569481</v>
      </c>
    </row>
    <row r="40" spans="1:6" x14ac:dyDescent="0.25">
      <c r="A40" t="s">
        <v>16</v>
      </c>
      <c r="B40">
        <v>2023</v>
      </c>
      <c r="C40" t="s">
        <v>7</v>
      </c>
      <c r="D40" t="s">
        <v>13</v>
      </c>
      <c r="E40" t="s">
        <v>11</v>
      </c>
      <c r="F40" s="3">
        <v>1.0256367681491996</v>
      </c>
    </row>
    <row r="41" spans="1:6" x14ac:dyDescent="0.25">
      <c r="A41" t="s">
        <v>16</v>
      </c>
      <c r="B41">
        <v>2023</v>
      </c>
      <c r="C41" t="s">
        <v>7</v>
      </c>
      <c r="D41" t="s">
        <v>14</v>
      </c>
      <c r="E41" t="s">
        <v>9</v>
      </c>
      <c r="F41" s="3">
        <v>1.0040557798417171</v>
      </c>
    </row>
    <row r="42" spans="1:6" x14ac:dyDescent="0.25">
      <c r="A42" t="s">
        <v>16</v>
      </c>
      <c r="B42">
        <v>2023</v>
      </c>
      <c r="C42" t="s">
        <v>7</v>
      </c>
      <c r="D42" t="s">
        <v>14</v>
      </c>
      <c r="E42" t="s">
        <v>10</v>
      </c>
      <c r="F42" s="3">
        <v>1.0095666203350515</v>
      </c>
    </row>
    <row r="43" spans="1:6" x14ac:dyDescent="0.25">
      <c r="A43" t="s">
        <v>16</v>
      </c>
      <c r="B43">
        <v>2023</v>
      </c>
      <c r="C43" t="s">
        <v>7</v>
      </c>
      <c r="D43" t="s">
        <v>14</v>
      </c>
      <c r="E43" t="s">
        <v>11</v>
      </c>
      <c r="F43" s="3">
        <v>1.0203660087950106</v>
      </c>
    </row>
    <row r="44" spans="1:6" x14ac:dyDescent="0.25">
      <c r="A44" t="s">
        <v>16</v>
      </c>
      <c r="B44">
        <v>2023</v>
      </c>
      <c r="C44" t="s">
        <v>7</v>
      </c>
      <c r="D44" t="s">
        <v>53</v>
      </c>
      <c r="E44" t="s">
        <v>9</v>
      </c>
      <c r="F44" s="3">
        <v>1.0045796038386168</v>
      </c>
    </row>
    <row r="45" spans="1:6" x14ac:dyDescent="0.25">
      <c r="A45" t="s">
        <v>16</v>
      </c>
      <c r="B45">
        <v>2023</v>
      </c>
      <c r="C45" t="s">
        <v>7</v>
      </c>
      <c r="D45" t="s">
        <v>53</v>
      </c>
      <c r="E45" t="s">
        <v>10</v>
      </c>
      <c r="F45" s="3">
        <v>1.0108984121652742</v>
      </c>
    </row>
    <row r="46" spans="1:6" x14ac:dyDescent="0.25">
      <c r="A46" t="s">
        <v>16</v>
      </c>
      <c r="B46">
        <v>2023</v>
      </c>
      <c r="C46" t="s">
        <v>7</v>
      </c>
      <c r="D46" t="s">
        <v>53</v>
      </c>
      <c r="E46" t="s">
        <v>11</v>
      </c>
      <c r="F46" s="3">
        <v>1.0228110120561447</v>
      </c>
    </row>
    <row r="47" spans="1:6" x14ac:dyDescent="0.25">
      <c r="A47" t="s">
        <v>6</v>
      </c>
      <c r="B47">
        <v>2034</v>
      </c>
      <c r="C47" t="s">
        <v>7</v>
      </c>
      <c r="D47" t="s">
        <v>8</v>
      </c>
      <c r="E47" t="s">
        <v>9</v>
      </c>
      <c r="F47" s="3">
        <v>1</v>
      </c>
    </row>
    <row r="48" spans="1:6" x14ac:dyDescent="0.25">
      <c r="A48" t="s">
        <v>6</v>
      </c>
      <c r="B48">
        <v>2034</v>
      </c>
      <c r="C48" t="s">
        <v>7</v>
      </c>
      <c r="D48" t="s">
        <v>8</v>
      </c>
      <c r="E48" t="s">
        <v>10</v>
      </c>
      <c r="F48" s="3">
        <v>1</v>
      </c>
    </row>
    <row r="49" spans="1:6" x14ac:dyDescent="0.25">
      <c r="A49" t="s">
        <v>6</v>
      </c>
      <c r="B49">
        <v>2034</v>
      </c>
      <c r="C49" t="s">
        <v>7</v>
      </c>
      <c r="D49" t="s">
        <v>8</v>
      </c>
      <c r="E49" t="s">
        <v>11</v>
      </c>
      <c r="F49" s="3">
        <v>1</v>
      </c>
    </row>
    <row r="50" spans="1:6" x14ac:dyDescent="0.25">
      <c r="A50" t="s">
        <v>6</v>
      </c>
      <c r="B50">
        <v>2034</v>
      </c>
      <c r="C50" t="s">
        <v>7</v>
      </c>
      <c r="D50" t="s">
        <v>12</v>
      </c>
      <c r="E50" t="s">
        <v>9</v>
      </c>
      <c r="F50" s="3">
        <v>1</v>
      </c>
    </row>
    <row r="51" spans="1:6" x14ac:dyDescent="0.25">
      <c r="A51" t="s">
        <v>6</v>
      </c>
      <c r="B51">
        <v>2034</v>
      </c>
      <c r="C51" t="s">
        <v>7</v>
      </c>
      <c r="D51" t="s">
        <v>12</v>
      </c>
      <c r="E51" t="s">
        <v>10</v>
      </c>
      <c r="F51" s="3">
        <v>1</v>
      </c>
    </row>
    <row r="52" spans="1:6" x14ac:dyDescent="0.25">
      <c r="A52" t="s">
        <v>6</v>
      </c>
      <c r="B52">
        <v>2034</v>
      </c>
      <c r="C52" t="s">
        <v>7</v>
      </c>
      <c r="D52" t="s">
        <v>12</v>
      </c>
      <c r="E52" t="s">
        <v>11</v>
      </c>
      <c r="F52" s="3">
        <v>1</v>
      </c>
    </row>
    <row r="53" spans="1:6" x14ac:dyDescent="0.25">
      <c r="A53" t="s">
        <v>6</v>
      </c>
      <c r="B53">
        <v>2034</v>
      </c>
      <c r="C53" t="s">
        <v>7</v>
      </c>
      <c r="D53" t="s">
        <v>13</v>
      </c>
      <c r="E53" t="s">
        <v>9</v>
      </c>
      <c r="F53" s="3">
        <v>1</v>
      </c>
    </row>
    <row r="54" spans="1:6" x14ac:dyDescent="0.25">
      <c r="A54" t="s">
        <v>6</v>
      </c>
      <c r="B54">
        <v>2034</v>
      </c>
      <c r="C54" t="s">
        <v>7</v>
      </c>
      <c r="D54" t="s">
        <v>13</v>
      </c>
      <c r="E54" t="s">
        <v>10</v>
      </c>
      <c r="F54" s="3">
        <v>1</v>
      </c>
    </row>
    <row r="55" spans="1:6" x14ac:dyDescent="0.25">
      <c r="A55" t="s">
        <v>6</v>
      </c>
      <c r="B55">
        <v>2034</v>
      </c>
      <c r="C55" t="s">
        <v>7</v>
      </c>
      <c r="D55" t="s">
        <v>13</v>
      </c>
      <c r="E55" t="s">
        <v>11</v>
      </c>
      <c r="F55" s="3">
        <v>1</v>
      </c>
    </row>
    <row r="56" spans="1:6" x14ac:dyDescent="0.25">
      <c r="A56" t="s">
        <v>6</v>
      </c>
      <c r="B56">
        <v>2034</v>
      </c>
      <c r="C56" t="s">
        <v>7</v>
      </c>
      <c r="D56" t="s">
        <v>14</v>
      </c>
      <c r="E56" t="s">
        <v>9</v>
      </c>
      <c r="F56" s="3">
        <v>1</v>
      </c>
    </row>
    <row r="57" spans="1:6" x14ac:dyDescent="0.25">
      <c r="A57" t="s">
        <v>6</v>
      </c>
      <c r="B57">
        <v>2034</v>
      </c>
      <c r="C57" t="s">
        <v>7</v>
      </c>
      <c r="D57" t="s">
        <v>14</v>
      </c>
      <c r="E57" t="s">
        <v>10</v>
      </c>
      <c r="F57" s="3">
        <v>1</v>
      </c>
    </row>
    <row r="58" spans="1:6" x14ac:dyDescent="0.25">
      <c r="A58" t="s">
        <v>6</v>
      </c>
      <c r="B58">
        <v>2034</v>
      </c>
      <c r="C58" t="s">
        <v>7</v>
      </c>
      <c r="D58" t="s">
        <v>14</v>
      </c>
      <c r="E58" t="s">
        <v>11</v>
      </c>
      <c r="F58" s="3">
        <v>1</v>
      </c>
    </row>
    <row r="59" spans="1:6" x14ac:dyDescent="0.25">
      <c r="A59" t="s">
        <v>6</v>
      </c>
      <c r="B59">
        <v>2034</v>
      </c>
      <c r="C59" t="s">
        <v>7</v>
      </c>
      <c r="D59" t="s">
        <v>53</v>
      </c>
      <c r="E59" t="s">
        <v>9</v>
      </c>
      <c r="F59" s="3">
        <v>1</v>
      </c>
    </row>
    <row r="60" spans="1:6" x14ac:dyDescent="0.25">
      <c r="A60" t="s">
        <v>6</v>
      </c>
      <c r="B60">
        <v>2034</v>
      </c>
      <c r="C60" t="s">
        <v>7</v>
      </c>
      <c r="D60" t="s">
        <v>53</v>
      </c>
      <c r="E60" t="s">
        <v>10</v>
      </c>
      <c r="F60" s="3">
        <v>1</v>
      </c>
    </row>
    <row r="61" spans="1:6" x14ac:dyDescent="0.25">
      <c r="A61" t="s">
        <v>6</v>
      </c>
      <c r="B61">
        <v>2034</v>
      </c>
      <c r="C61" t="s">
        <v>7</v>
      </c>
      <c r="D61" t="s">
        <v>53</v>
      </c>
      <c r="E61" t="s">
        <v>11</v>
      </c>
      <c r="F61" s="3">
        <v>1</v>
      </c>
    </row>
    <row r="62" spans="1:6" x14ac:dyDescent="0.25">
      <c r="A62" t="s">
        <v>15</v>
      </c>
      <c r="B62">
        <v>2034</v>
      </c>
      <c r="C62" t="s">
        <v>7</v>
      </c>
      <c r="D62" t="s">
        <v>8</v>
      </c>
      <c r="E62" t="s">
        <v>9</v>
      </c>
      <c r="F62" s="3">
        <v>0.97208023823636724</v>
      </c>
    </row>
    <row r="63" spans="1:6" x14ac:dyDescent="0.25">
      <c r="A63" t="s">
        <v>15</v>
      </c>
      <c r="B63">
        <v>2034</v>
      </c>
      <c r="C63" t="s">
        <v>7</v>
      </c>
      <c r="D63" t="s">
        <v>8</v>
      </c>
      <c r="E63" t="s">
        <v>10</v>
      </c>
      <c r="F63" s="3">
        <v>1</v>
      </c>
    </row>
    <row r="64" spans="1:6" x14ac:dyDescent="0.25">
      <c r="A64" t="s">
        <v>15</v>
      </c>
      <c r="B64">
        <v>2034</v>
      </c>
      <c r="C64" t="s">
        <v>7</v>
      </c>
      <c r="D64" t="s">
        <v>8</v>
      </c>
      <c r="E64" t="s">
        <v>11</v>
      </c>
      <c r="F64" s="3">
        <v>0.99038158734414561</v>
      </c>
    </row>
    <row r="65" spans="1:6" x14ac:dyDescent="0.25">
      <c r="A65" t="s">
        <v>15</v>
      </c>
      <c r="B65">
        <v>2034</v>
      </c>
      <c r="C65" t="s">
        <v>7</v>
      </c>
      <c r="D65" t="s">
        <v>12</v>
      </c>
      <c r="E65" t="s">
        <v>9</v>
      </c>
      <c r="F65" s="3">
        <v>0.95054215504160899</v>
      </c>
    </row>
    <row r="66" spans="1:6" x14ac:dyDescent="0.25">
      <c r="A66" t="s">
        <v>15</v>
      </c>
      <c r="B66">
        <v>2034</v>
      </c>
      <c r="C66" t="s">
        <v>7</v>
      </c>
      <c r="D66" t="s">
        <v>12</v>
      </c>
      <c r="E66" t="s">
        <v>10</v>
      </c>
      <c r="F66" s="3">
        <v>0.99186435407410223</v>
      </c>
    </row>
    <row r="67" spans="1:6" x14ac:dyDescent="0.25">
      <c r="A67" t="s">
        <v>15</v>
      </c>
      <c r="B67">
        <v>2034</v>
      </c>
      <c r="C67" t="s">
        <v>7</v>
      </c>
      <c r="D67" t="s">
        <v>12</v>
      </c>
      <c r="E67" t="s">
        <v>11</v>
      </c>
      <c r="F67" s="3">
        <v>0.98355364230582498</v>
      </c>
    </row>
    <row r="68" spans="1:6" x14ac:dyDescent="0.25">
      <c r="A68" t="s">
        <v>15</v>
      </c>
      <c r="B68">
        <v>2034</v>
      </c>
      <c r="C68" t="s">
        <v>7</v>
      </c>
      <c r="D68" t="s">
        <v>13</v>
      </c>
      <c r="E68" t="s">
        <v>9</v>
      </c>
      <c r="F68" s="3">
        <v>0.95103655431755652</v>
      </c>
    </row>
    <row r="69" spans="1:6" x14ac:dyDescent="0.25">
      <c r="A69" t="s">
        <v>15</v>
      </c>
      <c r="B69">
        <v>2034</v>
      </c>
      <c r="C69" t="s">
        <v>7</v>
      </c>
      <c r="D69" t="s">
        <v>13</v>
      </c>
      <c r="E69" t="s">
        <v>10</v>
      </c>
      <c r="F69" s="3">
        <v>0.99195669374895978</v>
      </c>
    </row>
    <row r="70" spans="1:6" x14ac:dyDescent="0.25">
      <c r="A70" t="s">
        <v>15</v>
      </c>
      <c r="B70">
        <v>2034</v>
      </c>
      <c r="C70" t="s">
        <v>7</v>
      </c>
      <c r="D70" t="s">
        <v>13</v>
      </c>
      <c r="E70" t="s">
        <v>11</v>
      </c>
      <c r="F70" s="3">
        <v>0.98374999839971577</v>
      </c>
    </row>
    <row r="71" spans="1:6" x14ac:dyDescent="0.25">
      <c r="A71" t="s">
        <v>15</v>
      </c>
      <c r="B71">
        <v>2034</v>
      </c>
      <c r="C71" t="s">
        <v>7</v>
      </c>
      <c r="D71" t="s">
        <v>14</v>
      </c>
      <c r="E71" t="s">
        <v>9</v>
      </c>
      <c r="F71" s="3">
        <v>0.96210672359626503</v>
      </c>
    </row>
    <row r="72" spans="1:6" x14ac:dyDescent="0.25">
      <c r="A72" t="s">
        <v>15</v>
      </c>
      <c r="B72">
        <v>2034</v>
      </c>
      <c r="C72" t="s">
        <v>7</v>
      </c>
      <c r="D72" t="s">
        <v>14</v>
      </c>
      <c r="E72" t="s">
        <v>10</v>
      </c>
      <c r="F72" s="3">
        <v>0.9938166203526887</v>
      </c>
    </row>
    <row r="73" spans="1:6" x14ac:dyDescent="0.25">
      <c r="A73" t="s">
        <v>15</v>
      </c>
      <c r="B73">
        <v>2034</v>
      </c>
      <c r="C73" t="s">
        <v>7</v>
      </c>
      <c r="D73" t="s">
        <v>14</v>
      </c>
      <c r="E73" t="s">
        <v>11</v>
      </c>
      <c r="F73" s="3">
        <v>0.98717183517906304</v>
      </c>
    </row>
    <row r="74" spans="1:6" x14ac:dyDescent="0.25">
      <c r="A74" t="s">
        <v>15</v>
      </c>
      <c r="B74">
        <v>2034</v>
      </c>
      <c r="C74" t="s">
        <v>7</v>
      </c>
      <c r="D74" t="s">
        <v>53</v>
      </c>
      <c r="E74" t="s">
        <v>9</v>
      </c>
      <c r="F74" s="3">
        <v>0.95703023253970709</v>
      </c>
    </row>
    <row r="75" spans="1:6" x14ac:dyDescent="0.25">
      <c r="A75" t="s">
        <v>15</v>
      </c>
      <c r="B75">
        <v>2034</v>
      </c>
      <c r="C75" t="s">
        <v>7</v>
      </c>
      <c r="D75" t="s">
        <v>53</v>
      </c>
      <c r="E75" t="s">
        <v>10</v>
      </c>
      <c r="F75" s="3">
        <v>0.99296745756134686</v>
      </c>
    </row>
    <row r="76" spans="1:6" x14ac:dyDescent="0.25">
      <c r="A76" t="s">
        <v>15</v>
      </c>
      <c r="B76">
        <v>2034</v>
      </c>
      <c r="C76" t="s">
        <v>7</v>
      </c>
      <c r="D76" t="s">
        <v>53</v>
      </c>
      <c r="E76" t="s">
        <v>11</v>
      </c>
      <c r="F76" s="3">
        <v>0.98558760435341541</v>
      </c>
    </row>
    <row r="77" spans="1:6" x14ac:dyDescent="0.25">
      <c r="A77" t="s">
        <v>16</v>
      </c>
      <c r="B77">
        <v>2034</v>
      </c>
      <c r="C77" t="s">
        <v>7</v>
      </c>
      <c r="D77" t="s">
        <v>8</v>
      </c>
      <c r="E77" t="s">
        <v>9</v>
      </c>
      <c r="F77" s="3">
        <v>1.0114762210930268</v>
      </c>
    </row>
    <row r="78" spans="1:6" x14ac:dyDescent="0.25">
      <c r="A78" t="s">
        <v>16</v>
      </c>
      <c r="B78">
        <v>2034</v>
      </c>
      <c r="C78" t="s">
        <v>7</v>
      </c>
      <c r="D78" t="s">
        <v>8</v>
      </c>
      <c r="E78" t="s">
        <v>10</v>
      </c>
      <c r="F78" s="3">
        <v>1</v>
      </c>
    </row>
    <row r="79" spans="1:6" x14ac:dyDescent="0.25">
      <c r="A79" t="s">
        <v>16</v>
      </c>
      <c r="B79">
        <v>2034</v>
      </c>
      <c r="C79" t="s">
        <v>7</v>
      </c>
      <c r="D79" t="s">
        <v>8</v>
      </c>
      <c r="E79" t="s">
        <v>11</v>
      </c>
      <c r="F79" s="3">
        <v>1.0137605265215794</v>
      </c>
    </row>
    <row r="80" spans="1:6" x14ac:dyDescent="0.25">
      <c r="A80" t="s">
        <v>16</v>
      </c>
      <c r="B80">
        <v>2034</v>
      </c>
      <c r="C80" t="s">
        <v>7</v>
      </c>
      <c r="D80" t="s">
        <v>12</v>
      </c>
      <c r="E80" t="s">
        <v>9</v>
      </c>
      <c r="F80" s="3">
        <v>1.0203292982344305</v>
      </c>
    </row>
    <row r="81" spans="1:6" x14ac:dyDescent="0.25">
      <c r="A81" t="s">
        <v>16</v>
      </c>
      <c r="B81">
        <v>2034</v>
      </c>
      <c r="C81" t="s">
        <v>7</v>
      </c>
      <c r="D81" t="s">
        <v>12</v>
      </c>
      <c r="E81" t="s">
        <v>10</v>
      </c>
      <c r="F81" s="3">
        <v>1.0116178290070217</v>
      </c>
    </row>
    <row r="82" spans="1:6" x14ac:dyDescent="0.25">
      <c r="A82" t="s">
        <v>16</v>
      </c>
      <c r="B82">
        <v>2034</v>
      </c>
      <c r="C82" t="s">
        <v>7</v>
      </c>
      <c r="D82" t="s">
        <v>12</v>
      </c>
      <c r="E82" t="s">
        <v>11</v>
      </c>
      <c r="F82" s="3">
        <v>1.0235288866605576</v>
      </c>
    </row>
    <row r="83" spans="1:6" x14ac:dyDescent="0.25">
      <c r="A83" t="s">
        <v>16</v>
      </c>
      <c r="B83">
        <v>2034</v>
      </c>
      <c r="C83" t="s">
        <v>7</v>
      </c>
      <c r="D83" t="s">
        <v>13</v>
      </c>
      <c r="E83" t="s">
        <v>9</v>
      </c>
      <c r="F83" s="3">
        <v>1.0201260789001456</v>
      </c>
    </row>
    <row r="84" spans="1:6" x14ac:dyDescent="0.25">
      <c r="A84" t="s">
        <v>16</v>
      </c>
      <c r="B84">
        <v>2034</v>
      </c>
      <c r="C84" t="s">
        <v>7</v>
      </c>
      <c r="D84" t="s">
        <v>13</v>
      </c>
      <c r="E84" t="s">
        <v>10</v>
      </c>
      <c r="F84" s="3">
        <v>1.0114859665141314</v>
      </c>
    </row>
    <row r="85" spans="1:6" x14ac:dyDescent="0.25">
      <c r="A85" t="s">
        <v>16</v>
      </c>
      <c r="B85">
        <v>2034</v>
      </c>
      <c r="C85" t="s">
        <v>7</v>
      </c>
      <c r="D85" t="s">
        <v>13</v>
      </c>
      <c r="E85" t="s">
        <v>11</v>
      </c>
      <c r="F85" s="3">
        <v>1.0232479709487527</v>
      </c>
    </row>
    <row r="86" spans="1:6" x14ac:dyDescent="0.25">
      <c r="A86" t="s">
        <v>16</v>
      </c>
      <c r="B86">
        <v>2034</v>
      </c>
      <c r="C86" t="s">
        <v>7</v>
      </c>
      <c r="D86" t="s">
        <v>14</v>
      </c>
      <c r="E86" t="s">
        <v>9</v>
      </c>
      <c r="F86" s="3">
        <v>1.0155757639205536</v>
      </c>
    </row>
    <row r="87" spans="1:6" x14ac:dyDescent="0.25">
      <c r="A87" t="s">
        <v>16</v>
      </c>
      <c r="B87">
        <v>2034</v>
      </c>
      <c r="C87" t="s">
        <v>7</v>
      </c>
      <c r="D87" t="s">
        <v>14</v>
      </c>
      <c r="E87" t="s">
        <v>10</v>
      </c>
      <c r="F87" s="3">
        <v>1.0088299623757324</v>
      </c>
    </row>
    <row r="88" spans="1:6" x14ac:dyDescent="0.25">
      <c r="A88" t="s">
        <v>16</v>
      </c>
      <c r="B88">
        <v>2034</v>
      </c>
      <c r="C88" t="s">
        <v>7</v>
      </c>
      <c r="D88" t="s">
        <v>14</v>
      </c>
      <c r="E88" t="s">
        <v>11</v>
      </c>
      <c r="F88" s="3">
        <v>1.0183525399208411</v>
      </c>
    </row>
    <row r="89" spans="1:6" x14ac:dyDescent="0.25">
      <c r="A89" t="s">
        <v>16</v>
      </c>
      <c r="B89">
        <v>2034</v>
      </c>
      <c r="C89" t="s">
        <v>7</v>
      </c>
      <c r="D89" t="s">
        <v>53</v>
      </c>
      <c r="E89" t="s">
        <v>9</v>
      </c>
      <c r="F89" s="3">
        <v>1.0176624197536175</v>
      </c>
    </row>
    <row r="90" spans="1:6" x14ac:dyDescent="0.25">
      <c r="A90" t="s">
        <v>16</v>
      </c>
      <c r="B90">
        <v>2034</v>
      </c>
      <c r="C90" t="s">
        <v>7</v>
      </c>
      <c r="D90" t="s">
        <v>53</v>
      </c>
      <c r="E90" t="s">
        <v>10</v>
      </c>
      <c r="F90" s="3">
        <v>1.0100425800583104</v>
      </c>
    </row>
    <row r="91" spans="1:6" x14ac:dyDescent="0.25">
      <c r="A91" t="s">
        <v>16</v>
      </c>
      <c r="B91">
        <v>2034</v>
      </c>
      <c r="C91" t="s">
        <v>7</v>
      </c>
      <c r="D91" t="s">
        <v>53</v>
      </c>
      <c r="E91" t="s">
        <v>11</v>
      </c>
      <c r="F91" s="3">
        <v>1.0206190106029198</v>
      </c>
    </row>
    <row r="92" spans="1:6" x14ac:dyDescent="0.25">
      <c r="A92" t="s">
        <v>6</v>
      </c>
      <c r="B92">
        <v>2050</v>
      </c>
      <c r="C92" t="s">
        <v>7</v>
      </c>
      <c r="D92" t="s">
        <v>8</v>
      </c>
      <c r="E92" t="s">
        <v>9</v>
      </c>
      <c r="F92" s="3">
        <v>1</v>
      </c>
    </row>
    <row r="93" spans="1:6" x14ac:dyDescent="0.25">
      <c r="A93" t="s">
        <v>6</v>
      </c>
      <c r="B93">
        <v>2050</v>
      </c>
      <c r="C93" t="s">
        <v>7</v>
      </c>
      <c r="D93" t="s">
        <v>8</v>
      </c>
      <c r="E93" t="s">
        <v>10</v>
      </c>
      <c r="F93" s="3">
        <v>1</v>
      </c>
    </row>
    <row r="94" spans="1:6" x14ac:dyDescent="0.25">
      <c r="A94" t="s">
        <v>6</v>
      </c>
      <c r="B94">
        <v>2050</v>
      </c>
      <c r="C94" t="s">
        <v>7</v>
      </c>
      <c r="D94" t="s">
        <v>8</v>
      </c>
      <c r="E94" t="s">
        <v>11</v>
      </c>
      <c r="F94" s="3">
        <v>1</v>
      </c>
    </row>
    <row r="95" spans="1:6" x14ac:dyDescent="0.25">
      <c r="A95" t="s">
        <v>6</v>
      </c>
      <c r="B95">
        <v>2050</v>
      </c>
      <c r="C95" t="s">
        <v>7</v>
      </c>
      <c r="D95" t="s">
        <v>12</v>
      </c>
      <c r="E95" t="s">
        <v>9</v>
      </c>
      <c r="F95" s="3">
        <v>1</v>
      </c>
    </row>
    <row r="96" spans="1:6" x14ac:dyDescent="0.25">
      <c r="A96" t="s">
        <v>6</v>
      </c>
      <c r="B96">
        <v>2050</v>
      </c>
      <c r="C96" t="s">
        <v>7</v>
      </c>
      <c r="D96" t="s">
        <v>12</v>
      </c>
      <c r="E96" t="s">
        <v>10</v>
      </c>
      <c r="F96" s="3">
        <v>1</v>
      </c>
    </row>
    <row r="97" spans="1:6" x14ac:dyDescent="0.25">
      <c r="A97" t="s">
        <v>6</v>
      </c>
      <c r="B97">
        <v>2050</v>
      </c>
      <c r="C97" t="s">
        <v>7</v>
      </c>
      <c r="D97" t="s">
        <v>12</v>
      </c>
      <c r="E97" t="s">
        <v>11</v>
      </c>
      <c r="F97" s="3">
        <v>1</v>
      </c>
    </row>
    <row r="98" spans="1:6" x14ac:dyDescent="0.25">
      <c r="A98" t="s">
        <v>6</v>
      </c>
      <c r="B98">
        <v>2050</v>
      </c>
      <c r="C98" t="s">
        <v>7</v>
      </c>
      <c r="D98" t="s">
        <v>13</v>
      </c>
      <c r="E98" t="s">
        <v>9</v>
      </c>
      <c r="F98" s="3">
        <v>1</v>
      </c>
    </row>
    <row r="99" spans="1:6" x14ac:dyDescent="0.25">
      <c r="A99" t="s">
        <v>6</v>
      </c>
      <c r="B99">
        <v>2050</v>
      </c>
      <c r="C99" t="s">
        <v>7</v>
      </c>
      <c r="D99" t="s">
        <v>13</v>
      </c>
      <c r="E99" t="s">
        <v>10</v>
      </c>
      <c r="F99" s="3">
        <v>1</v>
      </c>
    </row>
    <row r="100" spans="1:6" x14ac:dyDescent="0.25">
      <c r="A100" t="s">
        <v>6</v>
      </c>
      <c r="B100">
        <v>2050</v>
      </c>
      <c r="C100" t="s">
        <v>7</v>
      </c>
      <c r="D100" t="s">
        <v>13</v>
      </c>
      <c r="E100" t="s">
        <v>11</v>
      </c>
      <c r="F100" s="3">
        <v>1</v>
      </c>
    </row>
    <row r="101" spans="1:6" x14ac:dyDescent="0.25">
      <c r="A101" t="s">
        <v>6</v>
      </c>
      <c r="B101">
        <v>2050</v>
      </c>
      <c r="C101" t="s">
        <v>7</v>
      </c>
      <c r="D101" t="s">
        <v>14</v>
      </c>
      <c r="E101" t="s">
        <v>9</v>
      </c>
      <c r="F101" s="3">
        <v>1</v>
      </c>
    </row>
    <row r="102" spans="1:6" x14ac:dyDescent="0.25">
      <c r="A102" t="s">
        <v>6</v>
      </c>
      <c r="B102">
        <v>2050</v>
      </c>
      <c r="C102" t="s">
        <v>7</v>
      </c>
      <c r="D102" t="s">
        <v>14</v>
      </c>
      <c r="E102" t="s">
        <v>10</v>
      </c>
      <c r="F102" s="3">
        <v>1</v>
      </c>
    </row>
    <row r="103" spans="1:6" x14ac:dyDescent="0.25">
      <c r="A103" t="s">
        <v>6</v>
      </c>
      <c r="B103">
        <v>2050</v>
      </c>
      <c r="C103" t="s">
        <v>7</v>
      </c>
      <c r="D103" t="s">
        <v>14</v>
      </c>
      <c r="E103" t="s">
        <v>11</v>
      </c>
      <c r="F103" s="3">
        <v>1</v>
      </c>
    </row>
    <row r="104" spans="1:6" x14ac:dyDescent="0.25">
      <c r="A104" t="s">
        <v>6</v>
      </c>
      <c r="B104">
        <v>2050</v>
      </c>
      <c r="C104" t="s">
        <v>7</v>
      </c>
      <c r="D104" t="s">
        <v>53</v>
      </c>
      <c r="E104" t="s">
        <v>9</v>
      </c>
      <c r="F104" s="3">
        <v>1</v>
      </c>
    </row>
    <row r="105" spans="1:6" x14ac:dyDescent="0.25">
      <c r="A105" t="s">
        <v>6</v>
      </c>
      <c r="B105">
        <v>2050</v>
      </c>
      <c r="C105" t="s">
        <v>7</v>
      </c>
      <c r="D105" t="s">
        <v>53</v>
      </c>
      <c r="E105" t="s">
        <v>10</v>
      </c>
      <c r="F105" s="3">
        <v>1</v>
      </c>
    </row>
    <row r="106" spans="1:6" x14ac:dyDescent="0.25">
      <c r="A106" t="s">
        <v>6</v>
      </c>
      <c r="B106">
        <v>2050</v>
      </c>
      <c r="C106" t="s">
        <v>7</v>
      </c>
      <c r="D106" t="s">
        <v>53</v>
      </c>
      <c r="E106" t="s">
        <v>11</v>
      </c>
      <c r="F106" s="3">
        <v>1</v>
      </c>
    </row>
    <row r="107" spans="1:6" x14ac:dyDescent="0.25">
      <c r="A107" t="s">
        <v>15</v>
      </c>
      <c r="B107">
        <v>2050</v>
      </c>
      <c r="C107" t="s">
        <v>7</v>
      </c>
      <c r="D107" t="s">
        <v>8</v>
      </c>
      <c r="E107" t="s">
        <v>9</v>
      </c>
      <c r="F107" s="3">
        <v>0.97311771593843233</v>
      </c>
    </row>
    <row r="108" spans="1:6" x14ac:dyDescent="0.25">
      <c r="A108" t="s">
        <v>15</v>
      </c>
      <c r="B108">
        <v>2050</v>
      </c>
      <c r="C108" t="s">
        <v>7</v>
      </c>
      <c r="D108" t="s">
        <v>8</v>
      </c>
      <c r="E108" t="s">
        <v>10</v>
      </c>
      <c r="F108" s="3">
        <v>1</v>
      </c>
    </row>
    <row r="109" spans="1:6" x14ac:dyDescent="0.25">
      <c r="A109" t="s">
        <v>15</v>
      </c>
      <c r="B109">
        <v>2050</v>
      </c>
      <c r="C109" t="s">
        <v>7</v>
      </c>
      <c r="D109" t="s">
        <v>8</v>
      </c>
      <c r="E109" t="s">
        <v>11</v>
      </c>
      <c r="F109" s="3">
        <v>0.9886675353383011</v>
      </c>
    </row>
    <row r="110" spans="1:6" x14ac:dyDescent="0.25">
      <c r="A110" t="s">
        <v>15</v>
      </c>
      <c r="B110">
        <v>2050</v>
      </c>
      <c r="C110" t="s">
        <v>7</v>
      </c>
      <c r="D110" t="s">
        <v>12</v>
      </c>
      <c r="E110" t="s">
        <v>9</v>
      </c>
      <c r="F110" s="3">
        <v>0.95174644159803445</v>
      </c>
    </row>
    <row r="111" spans="1:6" x14ac:dyDescent="0.25">
      <c r="A111" t="s">
        <v>15</v>
      </c>
      <c r="B111">
        <v>2050</v>
      </c>
      <c r="C111" t="s">
        <v>7</v>
      </c>
      <c r="D111" t="s">
        <v>12</v>
      </c>
      <c r="E111" t="s">
        <v>10</v>
      </c>
      <c r="F111" s="3">
        <v>0.98979227923177993</v>
      </c>
    </row>
    <row r="112" spans="1:6" x14ac:dyDescent="0.25">
      <c r="A112" t="s">
        <v>15</v>
      </c>
      <c r="B112">
        <v>2050</v>
      </c>
      <c r="C112" t="s">
        <v>7</v>
      </c>
      <c r="D112" t="s">
        <v>12</v>
      </c>
      <c r="E112" t="s">
        <v>11</v>
      </c>
      <c r="F112" s="3">
        <v>0.98021265974116756</v>
      </c>
    </row>
    <row r="113" spans="1:6" x14ac:dyDescent="0.25">
      <c r="A113" t="s">
        <v>15</v>
      </c>
      <c r="B113">
        <v>2050</v>
      </c>
      <c r="C113" t="s">
        <v>7</v>
      </c>
      <c r="D113" t="s">
        <v>13</v>
      </c>
      <c r="E113" t="s">
        <v>9</v>
      </c>
      <c r="F113" s="3">
        <v>0.95226376087785436</v>
      </c>
    </row>
    <row r="114" spans="1:6" x14ac:dyDescent="0.25">
      <c r="A114" t="s">
        <v>15</v>
      </c>
      <c r="B114">
        <v>2050</v>
      </c>
      <c r="C114" t="s">
        <v>7</v>
      </c>
      <c r="D114" t="s">
        <v>13</v>
      </c>
      <c r="E114" t="s">
        <v>10</v>
      </c>
      <c r="F114" s="3">
        <v>0.98989053383858672</v>
      </c>
    </row>
    <row r="115" spans="1:6" x14ac:dyDescent="0.25">
      <c r="A115" t="s">
        <v>15</v>
      </c>
      <c r="B115">
        <v>2050</v>
      </c>
      <c r="C115" t="s">
        <v>7</v>
      </c>
      <c r="D115" t="s">
        <v>13</v>
      </c>
      <c r="E115" t="s">
        <v>11</v>
      </c>
      <c r="F115" s="3">
        <v>0.98041411229009656</v>
      </c>
    </row>
    <row r="116" spans="1:6" x14ac:dyDescent="0.25">
      <c r="A116" t="s">
        <v>15</v>
      </c>
      <c r="B116">
        <v>2050</v>
      </c>
      <c r="C116" t="s">
        <v>7</v>
      </c>
      <c r="D116" t="s">
        <v>14</v>
      </c>
      <c r="E116" t="s">
        <v>9</v>
      </c>
      <c r="F116" s="3">
        <v>0.9632967413493444</v>
      </c>
    </row>
    <row r="117" spans="1:6" x14ac:dyDescent="0.25">
      <c r="A117" t="s">
        <v>15</v>
      </c>
      <c r="B117">
        <v>2050</v>
      </c>
      <c r="C117" t="s">
        <v>7</v>
      </c>
      <c r="D117" t="s">
        <v>14</v>
      </c>
      <c r="E117" t="s">
        <v>10</v>
      </c>
      <c r="F117" s="3">
        <v>0.99223994415697814</v>
      </c>
    </row>
    <row r="118" spans="1:6" x14ac:dyDescent="0.25">
      <c r="A118" t="s">
        <v>15</v>
      </c>
      <c r="B118">
        <v>2050</v>
      </c>
      <c r="C118" t="s">
        <v>7</v>
      </c>
      <c r="D118" t="s">
        <v>14</v>
      </c>
      <c r="E118" t="s">
        <v>11</v>
      </c>
      <c r="F118" s="3">
        <v>0.98472487085161342</v>
      </c>
    </row>
    <row r="119" spans="1:6" x14ac:dyDescent="0.25">
      <c r="A119" t="s">
        <v>15</v>
      </c>
      <c r="B119">
        <v>2050</v>
      </c>
      <c r="C119" t="s">
        <v>7</v>
      </c>
      <c r="D119" t="s">
        <v>53</v>
      </c>
      <c r="E119" t="s">
        <v>9</v>
      </c>
      <c r="F119" s="3">
        <v>0.95825583067299314</v>
      </c>
    </row>
    <row r="120" spans="1:6" x14ac:dyDescent="0.25">
      <c r="A120" t="s">
        <v>15</v>
      </c>
      <c r="B120">
        <v>2050</v>
      </c>
      <c r="C120" t="s">
        <v>7</v>
      </c>
      <c r="D120" t="s">
        <v>53</v>
      </c>
      <c r="E120" t="s">
        <v>10</v>
      </c>
      <c r="F120" s="3">
        <v>0.99116744940085943</v>
      </c>
    </row>
    <row r="121" spans="1:6" x14ac:dyDescent="0.25">
      <c r="A121" t="s">
        <v>15</v>
      </c>
      <c r="B121">
        <v>2050</v>
      </c>
      <c r="C121" t="s">
        <v>7</v>
      </c>
      <c r="D121" t="s">
        <v>53</v>
      </c>
      <c r="E121" t="s">
        <v>11</v>
      </c>
      <c r="F121" s="3">
        <v>0.98274038277518494</v>
      </c>
    </row>
    <row r="122" spans="1:6" x14ac:dyDescent="0.25">
      <c r="A122" t="s">
        <v>16</v>
      </c>
      <c r="B122">
        <v>2050</v>
      </c>
      <c r="C122" t="s">
        <v>7</v>
      </c>
      <c r="D122" t="s">
        <v>8</v>
      </c>
      <c r="E122" t="s">
        <v>9</v>
      </c>
      <c r="F122" s="3">
        <v>1.0176655009547446</v>
      </c>
    </row>
    <row r="123" spans="1:6" x14ac:dyDescent="0.25">
      <c r="A123" t="s">
        <v>16</v>
      </c>
      <c r="B123">
        <v>2050</v>
      </c>
      <c r="C123" t="s">
        <v>7</v>
      </c>
      <c r="D123" t="s">
        <v>8</v>
      </c>
      <c r="E123" t="s">
        <v>10</v>
      </c>
      <c r="F123" s="3">
        <v>1</v>
      </c>
    </row>
    <row r="124" spans="1:6" x14ac:dyDescent="0.25">
      <c r="A124" t="s">
        <v>16</v>
      </c>
      <c r="B124">
        <v>2050</v>
      </c>
      <c r="C124" t="s">
        <v>7</v>
      </c>
      <c r="D124" t="s">
        <v>8</v>
      </c>
      <c r="E124" t="s">
        <v>11</v>
      </c>
      <c r="F124" s="3">
        <v>1.0106241856203428</v>
      </c>
    </row>
    <row r="125" spans="1:6" x14ac:dyDescent="0.25">
      <c r="A125" t="s">
        <v>16</v>
      </c>
      <c r="B125">
        <v>2050</v>
      </c>
      <c r="C125" t="s">
        <v>7</v>
      </c>
      <c r="D125" t="s">
        <v>12</v>
      </c>
      <c r="E125" t="s">
        <v>9</v>
      </c>
      <c r="F125" s="3">
        <v>1.0317094812355776</v>
      </c>
    </row>
    <row r="126" spans="1:6" x14ac:dyDescent="0.25">
      <c r="A126" t="s">
        <v>16</v>
      </c>
      <c r="B126">
        <v>2050</v>
      </c>
      <c r="C126" t="s">
        <v>7</v>
      </c>
      <c r="D126" t="s">
        <v>12</v>
      </c>
      <c r="E126" t="s">
        <v>10</v>
      </c>
      <c r="F126" s="3">
        <v>1.0095697382202065</v>
      </c>
    </row>
    <row r="127" spans="1:6" x14ac:dyDescent="0.25">
      <c r="A127" t="s">
        <v>16</v>
      </c>
      <c r="B127">
        <v>2050</v>
      </c>
      <c r="C127" t="s">
        <v>7</v>
      </c>
      <c r="D127" t="s">
        <v>12</v>
      </c>
      <c r="E127" t="s">
        <v>11</v>
      </c>
      <c r="F127" s="3">
        <v>1.0185506314926556</v>
      </c>
    </row>
    <row r="128" spans="1:6" x14ac:dyDescent="0.25">
      <c r="A128" t="s">
        <v>16</v>
      </c>
      <c r="B128">
        <v>2050</v>
      </c>
      <c r="C128" t="s">
        <v>7</v>
      </c>
      <c r="D128" t="s">
        <v>13</v>
      </c>
      <c r="E128" t="s">
        <v>9</v>
      </c>
      <c r="F128" s="3">
        <v>1.0313695285659814</v>
      </c>
    </row>
    <row r="129" spans="1:6" x14ac:dyDescent="0.25">
      <c r="A129" t="s">
        <v>16</v>
      </c>
      <c r="B129">
        <v>2050</v>
      </c>
      <c r="C129" t="s">
        <v>7</v>
      </c>
      <c r="D129" t="s">
        <v>13</v>
      </c>
      <c r="E129" t="s">
        <v>10</v>
      </c>
      <c r="F129" s="3">
        <v>1.0094776245263251</v>
      </c>
    </row>
    <row r="130" spans="1:6" x14ac:dyDescent="0.25">
      <c r="A130" t="s">
        <v>16</v>
      </c>
      <c r="B130">
        <v>2050</v>
      </c>
      <c r="C130" t="s">
        <v>7</v>
      </c>
      <c r="D130" t="s">
        <v>13</v>
      </c>
      <c r="E130" t="s">
        <v>11</v>
      </c>
      <c r="F130" s="3">
        <v>1.0183617697280345</v>
      </c>
    </row>
    <row r="131" spans="1:6" x14ac:dyDescent="0.25">
      <c r="A131" t="s">
        <v>16</v>
      </c>
      <c r="B131">
        <v>2050</v>
      </c>
      <c r="C131" t="s">
        <v>7</v>
      </c>
      <c r="D131" t="s">
        <v>14</v>
      </c>
      <c r="E131" t="s">
        <v>9</v>
      </c>
      <c r="F131" s="3">
        <v>1.0241192842561451</v>
      </c>
    </row>
    <row r="132" spans="1:6" x14ac:dyDescent="0.25">
      <c r="A132" t="s">
        <v>16</v>
      </c>
      <c r="B132">
        <v>2050</v>
      </c>
      <c r="C132" t="s">
        <v>7</v>
      </c>
      <c r="D132" t="s">
        <v>14</v>
      </c>
      <c r="E132" t="s">
        <v>10</v>
      </c>
      <c r="F132" s="3">
        <v>1.0072750523528331</v>
      </c>
    </row>
    <row r="133" spans="1:6" x14ac:dyDescent="0.25">
      <c r="A133" t="s">
        <v>16</v>
      </c>
      <c r="B133">
        <v>2050</v>
      </c>
      <c r="C133" t="s">
        <v>7</v>
      </c>
      <c r="D133" t="s">
        <v>14</v>
      </c>
      <c r="E133" t="s">
        <v>11</v>
      </c>
      <c r="F133" s="3">
        <v>1.0143204335766123</v>
      </c>
    </row>
    <row r="134" spans="1:6" x14ac:dyDescent="0.25">
      <c r="A134" t="s">
        <v>16</v>
      </c>
      <c r="B134">
        <v>2050</v>
      </c>
      <c r="C134" t="s">
        <v>7</v>
      </c>
      <c r="D134" t="s">
        <v>53</v>
      </c>
      <c r="E134" t="s">
        <v>9</v>
      </c>
      <c r="F134" s="3">
        <v>1.0274318827006046</v>
      </c>
    </row>
    <row r="135" spans="1:6" x14ac:dyDescent="0.25">
      <c r="A135" t="s">
        <v>16</v>
      </c>
      <c r="B135">
        <v>2050</v>
      </c>
      <c r="C135" t="s">
        <v>7</v>
      </c>
      <c r="D135" t="s">
        <v>53</v>
      </c>
      <c r="E135" t="s">
        <v>10</v>
      </c>
      <c r="F135" s="3">
        <v>1.0082805161866941</v>
      </c>
    </row>
    <row r="136" spans="1:6" x14ac:dyDescent="0.25">
      <c r="A136" t="s">
        <v>16</v>
      </c>
      <c r="B136">
        <v>2050</v>
      </c>
      <c r="C136" t="s">
        <v>7</v>
      </c>
      <c r="D136" t="s">
        <v>53</v>
      </c>
      <c r="E136" t="s">
        <v>11</v>
      </c>
      <c r="F136" s="3">
        <v>1.0161808911482648</v>
      </c>
    </row>
    <row r="137" spans="1:6" x14ac:dyDescent="0.25">
      <c r="A137" t="s">
        <v>6</v>
      </c>
      <c r="B137">
        <v>2023</v>
      </c>
      <c r="C137" t="s">
        <v>17</v>
      </c>
      <c r="D137" t="s">
        <v>8</v>
      </c>
      <c r="E137" t="s">
        <v>9</v>
      </c>
      <c r="F137" s="3">
        <v>1</v>
      </c>
    </row>
    <row r="138" spans="1:6" x14ac:dyDescent="0.25">
      <c r="A138" t="s">
        <v>6</v>
      </c>
      <c r="B138">
        <v>2023</v>
      </c>
      <c r="C138" t="s">
        <v>17</v>
      </c>
      <c r="D138" t="s">
        <v>8</v>
      </c>
      <c r="E138" t="s">
        <v>18</v>
      </c>
      <c r="F138" s="3">
        <v>1</v>
      </c>
    </row>
    <row r="139" spans="1:6" x14ac:dyDescent="0.25">
      <c r="A139" t="s">
        <v>6</v>
      </c>
      <c r="B139">
        <v>2023</v>
      </c>
      <c r="C139" t="s">
        <v>17</v>
      </c>
      <c r="D139" t="s">
        <v>8</v>
      </c>
      <c r="E139" t="s">
        <v>10</v>
      </c>
      <c r="F139" s="3">
        <v>1</v>
      </c>
    </row>
    <row r="140" spans="1:6" x14ac:dyDescent="0.25">
      <c r="A140" t="s">
        <v>6</v>
      </c>
      <c r="B140">
        <v>2023</v>
      </c>
      <c r="C140" t="s">
        <v>17</v>
      </c>
      <c r="D140" t="s">
        <v>8</v>
      </c>
      <c r="E140" t="s">
        <v>11</v>
      </c>
      <c r="F140" s="3">
        <v>1</v>
      </c>
    </row>
    <row r="141" spans="1:6" x14ac:dyDescent="0.25">
      <c r="A141" t="s">
        <v>6</v>
      </c>
      <c r="B141">
        <v>2023</v>
      </c>
      <c r="C141" t="s">
        <v>17</v>
      </c>
      <c r="D141" t="s">
        <v>12</v>
      </c>
      <c r="E141" t="s">
        <v>9</v>
      </c>
      <c r="F141" s="3">
        <v>1</v>
      </c>
    </row>
    <row r="142" spans="1:6" x14ac:dyDescent="0.25">
      <c r="A142" t="s">
        <v>6</v>
      </c>
      <c r="B142">
        <v>2023</v>
      </c>
      <c r="C142" t="s">
        <v>17</v>
      </c>
      <c r="D142" t="s">
        <v>12</v>
      </c>
      <c r="E142" t="s">
        <v>18</v>
      </c>
      <c r="F142" s="3">
        <v>1</v>
      </c>
    </row>
    <row r="143" spans="1:6" x14ac:dyDescent="0.25">
      <c r="A143" t="s">
        <v>6</v>
      </c>
      <c r="B143">
        <v>2023</v>
      </c>
      <c r="C143" t="s">
        <v>17</v>
      </c>
      <c r="D143" t="s">
        <v>12</v>
      </c>
      <c r="E143" t="s">
        <v>10</v>
      </c>
      <c r="F143" s="3">
        <v>1</v>
      </c>
    </row>
    <row r="144" spans="1:6" x14ac:dyDescent="0.25">
      <c r="A144" t="s">
        <v>6</v>
      </c>
      <c r="B144">
        <v>2023</v>
      </c>
      <c r="C144" t="s">
        <v>17</v>
      </c>
      <c r="D144" t="s">
        <v>12</v>
      </c>
      <c r="E144" t="s">
        <v>11</v>
      </c>
      <c r="F144" s="3">
        <v>1</v>
      </c>
    </row>
    <row r="145" spans="1:6" x14ac:dyDescent="0.25">
      <c r="A145" t="s">
        <v>6</v>
      </c>
      <c r="B145">
        <v>2023</v>
      </c>
      <c r="C145" t="s">
        <v>17</v>
      </c>
      <c r="D145" t="s">
        <v>13</v>
      </c>
      <c r="E145" t="s">
        <v>9</v>
      </c>
      <c r="F145" s="3">
        <v>1</v>
      </c>
    </row>
    <row r="146" spans="1:6" x14ac:dyDescent="0.25">
      <c r="A146" t="s">
        <v>6</v>
      </c>
      <c r="B146">
        <v>2023</v>
      </c>
      <c r="C146" t="s">
        <v>17</v>
      </c>
      <c r="D146" t="s">
        <v>13</v>
      </c>
      <c r="E146" t="s">
        <v>18</v>
      </c>
      <c r="F146" s="3">
        <v>1</v>
      </c>
    </row>
    <row r="147" spans="1:6" x14ac:dyDescent="0.25">
      <c r="A147" t="s">
        <v>6</v>
      </c>
      <c r="B147">
        <v>2023</v>
      </c>
      <c r="C147" t="s">
        <v>17</v>
      </c>
      <c r="D147" t="s">
        <v>13</v>
      </c>
      <c r="E147" t="s">
        <v>10</v>
      </c>
      <c r="F147" s="3">
        <v>1</v>
      </c>
    </row>
    <row r="148" spans="1:6" x14ac:dyDescent="0.25">
      <c r="A148" t="s">
        <v>6</v>
      </c>
      <c r="B148">
        <v>2023</v>
      </c>
      <c r="C148" t="s">
        <v>17</v>
      </c>
      <c r="D148" t="s">
        <v>13</v>
      </c>
      <c r="E148" t="s">
        <v>11</v>
      </c>
      <c r="F148" s="3">
        <v>1</v>
      </c>
    </row>
    <row r="149" spans="1:6" x14ac:dyDescent="0.25">
      <c r="A149" t="s">
        <v>6</v>
      </c>
      <c r="B149">
        <v>2023</v>
      </c>
      <c r="C149" t="s">
        <v>17</v>
      </c>
      <c r="D149" t="s">
        <v>14</v>
      </c>
      <c r="E149" t="s">
        <v>9</v>
      </c>
      <c r="F149" s="3">
        <v>1</v>
      </c>
    </row>
    <row r="150" spans="1:6" x14ac:dyDescent="0.25">
      <c r="A150" t="s">
        <v>6</v>
      </c>
      <c r="B150">
        <v>2023</v>
      </c>
      <c r="C150" t="s">
        <v>17</v>
      </c>
      <c r="D150" t="s">
        <v>14</v>
      </c>
      <c r="E150" t="s">
        <v>18</v>
      </c>
      <c r="F150" s="3">
        <v>1</v>
      </c>
    </row>
    <row r="151" spans="1:6" x14ac:dyDescent="0.25">
      <c r="A151" t="s">
        <v>6</v>
      </c>
      <c r="B151">
        <v>2023</v>
      </c>
      <c r="C151" t="s">
        <v>17</v>
      </c>
      <c r="D151" t="s">
        <v>14</v>
      </c>
      <c r="E151" t="s">
        <v>10</v>
      </c>
      <c r="F151" s="3">
        <v>1</v>
      </c>
    </row>
    <row r="152" spans="1:6" x14ac:dyDescent="0.25">
      <c r="A152" t="s">
        <v>6</v>
      </c>
      <c r="B152">
        <v>2023</v>
      </c>
      <c r="C152" t="s">
        <v>17</v>
      </c>
      <c r="D152" t="s">
        <v>14</v>
      </c>
      <c r="E152" t="s">
        <v>11</v>
      </c>
      <c r="F152" s="3">
        <v>1</v>
      </c>
    </row>
    <row r="153" spans="1:6" x14ac:dyDescent="0.25">
      <c r="A153" t="s">
        <v>6</v>
      </c>
      <c r="B153">
        <v>2023</v>
      </c>
      <c r="C153" t="s">
        <v>17</v>
      </c>
      <c r="D153" t="s">
        <v>53</v>
      </c>
      <c r="E153" t="s">
        <v>9</v>
      </c>
      <c r="F153" s="3">
        <v>1</v>
      </c>
    </row>
    <row r="154" spans="1:6" x14ac:dyDescent="0.25">
      <c r="A154" t="s">
        <v>6</v>
      </c>
      <c r="B154">
        <v>2023</v>
      </c>
      <c r="C154" t="s">
        <v>17</v>
      </c>
      <c r="D154" t="s">
        <v>53</v>
      </c>
      <c r="E154" t="s">
        <v>18</v>
      </c>
      <c r="F154" s="3">
        <v>1</v>
      </c>
    </row>
    <row r="155" spans="1:6" x14ac:dyDescent="0.25">
      <c r="A155" t="s">
        <v>6</v>
      </c>
      <c r="B155">
        <v>2023</v>
      </c>
      <c r="C155" t="s">
        <v>17</v>
      </c>
      <c r="D155" t="s">
        <v>53</v>
      </c>
      <c r="E155" t="s">
        <v>10</v>
      </c>
      <c r="F155" s="3">
        <v>1</v>
      </c>
    </row>
    <row r="156" spans="1:6" x14ac:dyDescent="0.25">
      <c r="A156" t="s">
        <v>6</v>
      </c>
      <c r="B156">
        <v>2023</v>
      </c>
      <c r="C156" t="s">
        <v>17</v>
      </c>
      <c r="D156" t="s">
        <v>53</v>
      </c>
      <c r="E156" t="s">
        <v>11</v>
      </c>
      <c r="F156" s="3">
        <v>1</v>
      </c>
    </row>
    <row r="157" spans="1:6" x14ac:dyDescent="0.25">
      <c r="A157" t="s">
        <v>15</v>
      </c>
      <c r="B157">
        <v>2023</v>
      </c>
      <c r="C157" t="s">
        <v>17</v>
      </c>
      <c r="D157" t="s">
        <v>8</v>
      </c>
      <c r="E157" t="s">
        <v>9</v>
      </c>
      <c r="F157" s="3">
        <v>0.97560322033887004</v>
      </c>
    </row>
    <row r="158" spans="1:6" x14ac:dyDescent="0.25">
      <c r="A158" t="s">
        <v>15</v>
      </c>
      <c r="B158">
        <v>2023</v>
      </c>
      <c r="C158" t="s">
        <v>17</v>
      </c>
      <c r="D158" t="s">
        <v>8</v>
      </c>
      <c r="E158" t="s">
        <v>18</v>
      </c>
      <c r="F158" s="3">
        <v>0.98959809666762255</v>
      </c>
    </row>
    <row r="159" spans="1:6" x14ac:dyDescent="0.25">
      <c r="A159" t="s">
        <v>15</v>
      </c>
      <c r="B159">
        <v>2023</v>
      </c>
      <c r="C159" t="s">
        <v>17</v>
      </c>
      <c r="D159" t="s">
        <v>8</v>
      </c>
      <c r="E159" t="s">
        <v>10</v>
      </c>
      <c r="F159" s="3">
        <v>0.99187203545265257</v>
      </c>
    </row>
    <row r="160" spans="1:6" x14ac:dyDescent="0.25">
      <c r="A160" t="s">
        <v>15</v>
      </c>
      <c r="B160">
        <v>2023</v>
      </c>
      <c r="C160" t="s">
        <v>17</v>
      </c>
      <c r="D160" t="s">
        <v>8</v>
      </c>
      <c r="E160" t="s">
        <v>11</v>
      </c>
      <c r="F160" s="3">
        <v>0.98555618553248037</v>
      </c>
    </row>
    <row r="161" spans="1:6" x14ac:dyDescent="0.25">
      <c r="A161" t="s">
        <v>15</v>
      </c>
      <c r="B161">
        <v>2023</v>
      </c>
      <c r="C161" t="s">
        <v>17</v>
      </c>
      <c r="D161" t="s">
        <v>12</v>
      </c>
      <c r="E161" t="s">
        <v>9</v>
      </c>
      <c r="F161" s="3">
        <v>0.97578544697934166</v>
      </c>
    </row>
    <row r="162" spans="1:6" x14ac:dyDescent="0.25">
      <c r="A162" t="s">
        <v>15</v>
      </c>
      <c r="B162">
        <v>2023</v>
      </c>
      <c r="C162" t="s">
        <v>17</v>
      </c>
      <c r="D162" t="s">
        <v>12</v>
      </c>
      <c r="E162" t="s">
        <v>18</v>
      </c>
      <c r="F162" s="3">
        <v>0.98969351470431755</v>
      </c>
    </row>
    <row r="163" spans="1:6" x14ac:dyDescent="0.25">
      <c r="A163" t="s">
        <v>15</v>
      </c>
      <c r="B163">
        <v>2023</v>
      </c>
      <c r="C163" t="s">
        <v>17</v>
      </c>
      <c r="D163" t="s">
        <v>12</v>
      </c>
      <c r="E163" t="s">
        <v>10</v>
      </c>
      <c r="F163" s="3">
        <v>0.99192666048633926</v>
      </c>
    </row>
    <row r="164" spans="1:6" x14ac:dyDescent="0.25">
      <c r="A164" t="s">
        <v>15</v>
      </c>
      <c r="B164">
        <v>2023</v>
      </c>
      <c r="C164" t="s">
        <v>17</v>
      </c>
      <c r="D164" t="s">
        <v>12</v>
      </c>
      <c r="E164" t="s">
        <v>11</v>
      </c>
      <c r="F164" s="3">
        <v>0.98563303886617049</v>
      </c>
    </row>
    <row r="165" spans="1:6" x14ac:dyDescent="0.25">
      <c r="A165" t="s">
        <v>15</v>
      </c>
      <c r="B165">
        <v>2023</v>
      </c>
      <c r="C165" t="s">
        <v>17</v>
      </c>
      <c r="D165" t="s">
        <v>13</v>
      </c>
      <c r="E165" t="s">
        <v>9</v>
      </c>
      <c r="F165" s="3">
        <v>0.9743646957546509</v>
      </c>
    </row>
    <row r="166" spans="1:6" x14ac:dyDescent="0.25">
      <c r="A166" t="s">
        <v>15</v>
      </c>
      <c r="B166">
        <v>2023</v>
      </c>
      <c r="C166" t="s">
        <v>17</v>
      </c>
      <c r="D166" t="s">
        <v>13</v>
      </c>
      <c r="E166" t="s">
        <v>18</v>
      </c>
      <c r="F166" s="3">
        <v>0.9889407792200865</v>
      </c>
    </row>
    <row r="167" spans="1:6" x14ac:dyDescent="0.25">
      <c r="A167" t="s">
        <v>15</v>
      </c>
      <c r="B167">
        <v>2023</v>
      </c>
      <c r="C167" t="s">
        <v>17</v>
      </c>
      <c r="D167" t="s">
        <v>13</v>
      </c>
      <c r="E167" t="s">
        <v>10</v>
      </c>
      <c r="F167" s="3">
        <v>0.99149985622352643</v>
      </c>
    </row>
    <row r="168" spans="1:6" x14ac:dyDescent="0.25">
      <c r="A168" t="s">
        <v>15</v>
      </c>
      <c r="B168">
        <v>2023</v>
      </c>
      <c r="C168" t="s">
        <v>17</v>
      </c>
      <c r="D168" t="s">
        <v>13</v>
      </c>
      <c r="E168" t="s">
        <v>11</v>
      </c>
      <c r="F168" s="3">
        <v>0.98504038224393664</v>
      </c>
    </row>
    <row r="169" spans="1:6" x14ac:dyDescent="0.25">
      <c r="A169" t="s">
        <v>15</v>
      </c>
      <c r="B169">
        <v>2023</v>
      </c>
      <c r="C169" t="s">
        <v>17</v>
      </c>
      <c r="D169" t="s">
        <v>14</v>
      </c>
      <c r="E169" t="s">
        <v>9</v>
      </c>
      <c r="F169" s="3">
        <v>0.98307035983379165</v>
      </c>
    </row>
    <row r="170" spans="1:6" x14ac:dyDescent="0.25">
      <c r="A170" t="s">
        <v>15</v>
      </c>
      <c r="B170">
        <v>2023</v>
      </c>
      <c r="C170" t="s">
        <v>17</v>
      </c>
      <c r="D170" t="s">
        <v>14</v>
      </c>
      <c r="E170" t="s">
        <v>18</v>
      </c>
      <c r="F170" s="3">
        <v>0.99325696306799649</v>
      </c>
    </row>
    <row r="171" spans="1:6" x14ac:dyDescent="0.25">
      <c r="A171" t="s">
        <v>15</v>
      </c>
      <c r="B171">
        <v>2023</v>
      </c>
      <c r="C171" t="s">
        <v>17</v>
      </c>
      <c r="D171" t="s">
        <v>14</v>
      </c>
      <c r="E171" t="s">
        <v>10</v>
      </c>
      <c r="F171" s="3">
        <v>0.99419049795111536</v>
      </c>
    </row>
    <row r="172" spans="1:6" x14ac:dyDescent="0.25">
      <c r="A172" t="s">
        <v>15</v>
      </c>
      <c r="B172">
        <v>2023</v>
      </c>
      <c r="C172" t="s">
        <v>17</v>
      </c>
      <c r="D172" t="s">
        <v>14</v>
      </c>
      <c r="E172" t="s">
        <v>11</v>
      </c>
      <c r="F172" s="3">
        <v>0.98901211475016382</v>
      </c>
    </row>
    <row r="173" spans="1:6" x14ac:dyDescent="0.25">
      <c r="A173" t="s">
        <v>15</v>
      </c>
      <c r="B173">
        <v>2023</v>
      </c>
      <c r="C173" t="s">
        <v>17</v>
      </c>
      <c r="D173" t="s">
        <v>53</v>
      </c>
      <c r="E173" t="s">
        <v>9</v>
      </c>
      <c r="F173" s="3">
        <v>0.97533049739761191</v>
      </c>
    </row>
    <row r="174" spans="1:6" x14ac:dyDescent="0.25">
      <c r="A174" t="s">
        <v>15</v>
      </c>
      <c r="B174">
        <v>2023</v>
      </c>
      <c r="C174" t="s">
        <v>17</v>
      </c>
      <c r="D174" t="s">
        <v>53</v>
      </c>
      <c r="E174" t="s">
        <v>18</v>
      </c>
      <c r="F174" s="3">
        <v>0.9894546780276956</v>
      </c>
    </row>
    <row r="175" spans="1:6" x14ac:dyDescent="0.25">
      <c r="A175" t="s">
        <v>15</v>
      </c>
      <c r="B175">
        <v>2023</v>
      </c>
      <c r="C175" t="s">
        <v>17</v>
      </c>
      <c r="D175" t="s">
        <v>53</v>
      </c>
      <c r="E175" t="s">
        <v>10</v>
      </c>
      <c r="F175" s="3">
        <v>0.99178920979474661</v>
      </c>
    </row>
    <row r="176" spans="1:6" x14ac:dyDescent="0.25">
      <c r="A176" t="s">
        <v>15</v>
      </c>
      <c r="B176">
        <v>2023</v>
      </c>
      <c r="C176" t="s">
        <v>17</v>
      </c>
      <c r="D176" t="s">
        <v>53</v>
      </c>
      <c r="E176" t="s">
        <v>11</v>
      </c>
      <c r="F176" s="3">
        <v>0.98544092602326894</v>
      </c>
    </row>
    <row r="177" spans="1:6" x14ac:dyDescent="0.25">
      <c r="A177" t="s">
        <v>16</v>
      </c>
      <c r="B177">
        <v>2023</v>
      </c>
      <c r="C177" t="s">
        <v>17</v>
      </c>
      <c r="D177" t="s">
        <v>8</v>
      </c>
      <c r="E177" t="s">
        <v>9</v>
      </c>
      <c r="F177" s="3">
        <v>1.0083863930085133</v>
      </c>
    </row>
    <row r="178" spans="1:6" x14ac:dyDescent="0.25">
      <c r="A178" t="s">
        <v>16</v>
      </c>
      <c r="B178">
        <v>2023</v>
      </c>
      <c r="C178" t="s">
        <v>17</v>
      </c>
      <c r="D178" t="s">
        <v>8</v>
      </c>
      <c r="E178" t="s">
        <v>18</v>
      </c>
      <c r="F178" s="3">
        <v>1.0237500104987809</v>
      </c>
    </row>
    <row r="179" spans="1:6" x14ac:dyDescent="0.25">
      <c r="A179" t="s">
        <v>16</v>
      </c>
      <c r="B179">
        <v>2023</v>
      </c>
      <c r="C179" t="s">
        <v>17</v>
      </c>
      <c r="D179" t="s">
        <v>8</v>
      </c>
      <c r="E179" t="s">
        <v>10</v>
      </c>
      <c r="F179" s="3">
        <v>1.0185580693422105</v>
      </c>
    </row>
    <row r="180" spans="1:6" x14ac:dyDescent="0.25">
      <c r="A180" t="s">
        <v>16</v>
      </c>
      <c r="B180">
        <v>2023</v>
      </c>
      <c r="C180" t="s">
        <v>17</v>
      </c>
      <c r="D180" t="s">
        <v>8</v>
      </c>
      <c r="E180" t="s">
        <v>11</v>
      </c>
      <c r="F180" s="3">
        <v>1.0329786515298851</v>
      </c>
    </row>
    <row r="181" spans="1:6" x14ac:dyDescent="0.25">
      <c r="A181" t="s">
        <v>16</v>
      </c>
      <c r="B181">
        <v>2023</v>
      </c>
      <c r="C181" t="s">
        <v>17</v>
      </c>
      <c r="D181" t="s">
        <v>12</v>
      </c>
      <c r="E181" t="s">
        <v>9</v>
      </c>
      <c r="F181" s="3">
        <v>1.0083237526008513</v>
      </c>
    </row>
    <row r="182" spans="1:6" x14ac:dyDescent="0.25">
      <c r="A182" t="s">
        <v>16</v>
      </c>
      <c r="B182">
        <v>2023</v>
      </c>
      <c r="C182" t="s">
        <v>17</v>
      </c>
      <c r="D182" t="s">
        <v>12</v>
      </c>
      <c r="E182" t="s">
        <v>18</v>
      </c>
      <c r="F182" s="3">
        <v>1.0235321485074833</v>
      </c>
    </row>
    <row r="183" spans="1:6" x14ac:dyDescent="0.25">
      <c r="A183" t="s">
        <v>16</v>
      </c>
      <c r="B183">
        <v>2023</v>
      </c>
      <c r="C183" t="s">
        <v>17</v>
      </c>
      <c r="D183" t="s">
        <v>12</v>
      </c>
      <c r="E183" t="s">
        <v>10</v>
      </c>
      <c r="F183" s="3">
        <v>1.0184333474444862</v>
      </c>
    </row>
    <row r="184" spans="1:6" x14ac:dyDescent="0.25">
      <c r="A184" t="s">
        <v>16</v>
      </c>
      <c r="B184">
        <v>2023</v>
      </c>
      <c r="C184" t="s">
        <v>17</v>
      </c>
      <c r="D184" t="s">
        <v>12</v>
      </c>
      <c r="E184" t="s">
        <v>11</v>
      </c>
      <c r="F184" s="3">
        <v>1.0328031771552757</v>
      </c>
    </row>
    <row r="185" spans="1:6" x14ac:dyDescent="0.25">
      <c r="A185" t="s">
        <v>16</v>
      </c>
      <c r="B185">
        <v>2023</v>
      </c>
      <c r="C185" t="s">
        <v>17</v>
      </c>
      <c r="D185" t="s">
        <v>13</v>
      </c>
      <c r="E185" t="s">
        <v>9</v>
      </c>
      <c r="F185" s="3">
        <v>1.0088121358343387</v>
      </c>
    </row>
    <row r="186" spans="1:6" x14ac:dyDescent="0.25">
      <c r="A186" t="s">
        <v>16</v>
      </c>
      <c r="B186">
        <v>2023</v>
      </c>
      <c r="C186" t="s">
        <v>17</v>
      </c>
      <c r="D186" t="s">
        <v>13</v>
      </c>
      <c r="E186" t="s">
        <v>18</v>
      </c>
      <c r="F186" s="3">
        <v>1.0252508220119414</v>
      </c>
    </row>
    <row r="187" spans="1:6" x14ac:dyDescent="0.25">
      <c r="A187" t="s">
        <v>16</v>
      </c>
      <c r="B187">
        <v>2023</v>
      </c>
      <c r="C187" t="s">
        <v>17</v>
      </c>
      <c r="D187" t="s">
        <v>13</v>
      </c>
      <c r="E187" t="s">
        <v>10</v>
      </c>
      <c r="F187" s="3">
        <v>1.0194078427266304</v>
      </c>
    </row>
    <row r="188" spans="1:6" x14ac:dyDescent="0.25">
      <c r="A188" t="s">
        <v>16</v>
      </c>
      <c r="B188">
        <v>2023</v>
      </c>
      <c r="C188" t="s">
        <v>17</v>
      </c>
      <c r="D188" t="s">
        <v>13</v>
      </c>
      <c r="E188" t="s">
        <v>11</v>
      </c>
      <c r="F188" s="3">
        <v>1.0341563526800288</v>
      </c>
    </row>
    <row r="189" spans="1:6" x14ac:dyDescent="0.25">
      <c r="A189" t="s">
        <v>16</v>
      </c>
      <c r="B189">
        <v>2023</v>
      </c>
      <c r="C189" t="s">
        <v>17</v>
      </c>
      <c r="D189" t="s">
        <v>14</v>
      </c>
      <c r="E189" t="s">
        <v>9</v>
      </c>
      <c r="F189" s="3">
        <v>1.0058195638071343</v>
      </c>
    </row>
    <row r="190" spans="1:6" x14ac:dyDescent="0.25">
      <c r="A190" t="s">
        <v>16</v>
      </c>
      <c r="B190">
        <v>2023</v>
      </c>
      <c r="C190" t="s">
        <v>17</v>
      </c>
      <c r="D190" t="s">
        <v>14</v>
      </c>
      <c r="E190" t="s">
        <v>18</v>
      </c>
      <c r="F190" s="3">
        <v>1.0153959513765396</v>
      </c>
    </row>
    <row r="191" spans="1:6" x14ac:dyDescent="0.25">
      <c r="A191" t="s">
        <v>16</v>
      </c>
      <c r="B191">
        <v>2023</v>
      </c>
      <c r="C191" t="s">
        <v>17</v>
      </c>
      <c r="D191" t="s">
        <v>14</v>
      </c>
      <c r="E191" t="s">
        <v>10</v>
      </c>
      <c r="F191" s="3">
        <v>1.0132644699960081</v>
      </c>
    </row>
    <row r="192" spans="1:6" x14ac:dyDescent="0.25">
      <c r="A192" t="s">
        <v>16</v>
      </c>
      <c r="B192">
        <v>2023</v>
      </c>
      <c r="C192" t="s">
        <v>17</v>
      </c>
      <c r="D192" t="s">
        <v>14</v>
      </c>
      <c r="E192" t="s">
        <v>11</v>
      </c>
      <c r="F192" s="3">
        <v>1.0250879460906666</v>
      </c>
    </row>
    <row r="193" spans="1:6" x14ac:dyDescent="0.25">
      <c r="A193" t="s">
        <v>16</v>
      </c>
      <c r="B193">
        <v>2023</v>
      </c>
      <c r="C193" t="s">
        <v>17</v>
      </c>
      <c r="D193" t="s">
        <v>53</v>
      </c>
      <c r="E193" t="s">
        <v>9</v>
      </c>
      <c r="F193" s="3">
        <v>1.008480141519571</v>
      </c>
    </row>
    <row r="194" spans="1:6" x14ac:dyDescent="0.25">
      <c r="A194" t="s">
        <v>16</v>
      </c>
      <c r="B194">
        <v>2023</v>
      </c>
      <c r="C194" t="s">
        <v>17</v>
      </c>
      <c r="D194" t="s">
        <v>53</v>
      </c>
      <c r="E194" t="s">
        <v>18</v>
      </c>
      <c r="F194" s="3">
        <v>1.0240774692431227</v>
      </c>
    </row>
    <row r="195" spans="1:6" x14ac:dyDescent="0.25">
      <c r="A195" t="s">
        <v>16</v>
      </c>
      <c r="B195">
        <v>2023</v>
      </c>
      <c r="C195" t="s">
        <v>17</v>
      </c>
      <c r="D195" t="s">
        <v>53</v>
      </c>
      <c r="E195" t="s">
        <v>10</v>
      </c>
      <c r="F195" s="3">
        <v>1.0187471799484111</v>
      </c>
    </row>
    <row r="196" spans="1:6" x14ac:dyDescent="0.25">
      <c r="A196" t="s">
        <v>16</v>
      </c>
      <c r="B196">
        <v>2023</v>
      </c>
      <c r="C196" t="s">
        <v>17</v>
      </c>
      <c r="D196" t="s">
        <v>53</v>
      </c>
      <c r="E196" t="s">
        <v>11</v>
      </c>
      <c r="F196" s="3">
        <v>1.033241816305253</v>
      </c>
    </row>
    <row r="197" spans="1:6" x14ac:dyDescent="0.25">
      <c r="A197" t="s">
        <v>6</v>
      </c>
      <c r="B197">
        <v>2034</v>
      </c>
      <c r="C197" t="s">
        <v>17</v>
      </c>
      <c r="D197" t="s">
        <v>8</v>
      </c>
      <c r="E197" t="s">
        <v>9</v>
      </c>
      <c r="F197" s="3">
        <v>1</v>
      </c>
    </row>
    <row r="198" spans="1:6" x14ac:dyDescent="0.25">
      <c r="A198" t="s">
        <v>6</v>
      </c>
      <c r="B198">
        <v>2034</v>
      </c>
      <c r="C198" t="s">
        <v>17</v>
      </c>
      <c r="D198" t="s">
        <v>8</v>
      </c>
      <c r="E198" t="s">
        <v>18</v>
      </c>
      <c r="F198" s="3">
        <v>1</v>
      </c>
    </row>
    <row r="199" spans="1:6" x14ac:dyDescent="0.25">
      <c r="A199" t="s">
        <v>6</v>
      </c>
      <c r="B199">
        <v>2034</v>
      </c>
      <c r="C199" t="s">
        <v>17</v>
      </c>
      <c r="D199" t="s">
        <v>8</v>
      </c>
      <c r="E199" t="s">
        <v>10</v>
      </c>
      <c r="F199" s="3">
        <v>1</v>
      </c>
    </row>
    <row r="200" spans="1:6" x14ac:dyDescent="0.25">
      <c r="A200" t="s">
        <v>6</v>
      </c>
      <c r="B200">
        <v>2034</v>
      </c>
      <c r="C200" t="s">
        <v>17</v>
      </c>
      <c r="D200" t="s">
        <v>8</v>
      </c>
      <c r="E200" t="s">
        <v>11</v>
      </c>
      <c r="F200" s="3">
        <v>1</v>
      </c>
    </row>
    <row r="201" spans="1:6" x14ac:dyDescent="0.25">
      <c r="A201" t="s">
        <v>6</v>
      </c>
      <c r="B201">
        <v>2034</v>
      </c>
      <c r="C201" t="s">
        <v>17</v>
      </c>
      <c r="D201" t="s">
        <v>12</v>
      </c>
      <c r="E201" t="s">
        <v>9</v>
      </c>
      <c r="F201" s="3">
        <v>1</v>
      </c>
    </row>
    <row r="202" spans="1:6" x14ac:dyDescent="0.25">
      <c r="A202" t="s">
        <v>6</v>
      </c>
      <c r="B202">
        <v>2034</v>
      </c>
      <c r="C202" t="s">
        <v>17</v>
      </c>
      <c r="D202" t="s">
        <v>12</v>
      </c>
      <c r="E202" t="s">
        <v>18</v>
      </c>
      <c r="F202" s="3">
        <v>1</v>
      </c>
    </row>
    <row r="203" spans="1:6" x14ac:dyDescent="0.25">
      <c r="A203" t="s">
        <v>6</v>
      </c>
      <c r="B203">
        <v>2034</v>
      </c>
      <c r="C203" t="s">
        <v>17</v>
      </c>
      <c r="D203" t="s">
        <v>12</v>
      </c>
      <c r="E203" t="s">
        <v>10</v>
      </c>
      <c r="F203" s="3">
        <v>1</v>
      </c>
    </row>
    <row r="204" spans="1:6" x14ac:dyDescent="0.25">
      <c r="A204" t="s">
        <v>6</v>
      </c>
      <c r="B204">
        <v>2034</v>
      </c>
      <c r="C204" t="s">
        <v>17</v>
      </c>
      <c r="D204" t="s">
        <v>12</v>
      </c>
      <c r="E204" t="s">
        <v>11</v>
      </c>
      <c r="F204" s="3">
        <v>1</v>
      </c>
    </row>
    <row r="205" spans="1:6" x14ac:dyDescent="0.25">
      <c r="A205" t="s">
        <v>6</v>
      </c>
      <c r="B205">
        <v>2034</v>
      </c>
      <c r="C205" t="s">
        <v>17</v>
      </c>
      <c r="D205" t="s">
        <v>13</v>
      </c>
      <c r="E205" t="s">
        <v>9</v>
      </c>
      <c r="F205" s="3">
        <v>1</v>
      </c>
    </row>
    <row r="206" spans="1:6" x14ac:dyDescent="0.25">
      <c r="A206" t="s">
        <v>6</v>
      </c>
      <c r="B206">
        <v>2034</v>
      </c>
      <c r="C206" t="s">
        <v>17</v>
      </c>
      <c r="D206" t="s">
        <v>13</v>
      </c>
      <c r="E206" t="s">
        <v>18</v>
      </c>
      <c r="F206" s="3">
        <v>1</v>
      </c>
    </row>
    <row r="207" spans="1:6" x14ac:dyDescent="0.25">
      <c r="A207" t="s">
        <v>6</v>
      </c>
      <c r="B207">
        <v>2034</v>
      </c>
      <c r="C207" t="s">
        <v>17</v>
      </c>
      <c r="D207" t="s">
        <v>13</v>
      </c>
      <c r="E207" t="s">
        <v>10</v>
      </c>
      <c r="F207" s="3">
        <v>1</v>
      </c>
    </row>
    <row r="208" spans="1:6" x14ac:dyDescent="0.25">
      <c r="A208" t="s">
        <v>6</v>
      </c>
      <c r="B208">
        <v>2034</v>
      </c>
      <c r="C208" t="s">
        <v>17</v>
      </c>
      <c r="D208" t="s">
        <v>13</v>
      </c>
      <c r="E208" t="s">
        <v>11</v>
      </c>
      <c r="F208" s="3">
        <v>1</v>
      </c>
    </row>
    <row r="209" spans="1:6" x14ac:dyDescent="0.25">
      <c r="A209" t="s">
        <v>6</v>
      </c>
      <c r="B209">
        <v>2034</v>
      </c>
      <c r="C209" t="s">
        <v>17</v>
      </c>
      <c r="D209" t="s">
        <v>14</v>
      </c>
      <c r="E209" t="s">
        <v>9</v>
      </c>
      <c r="F209" s="3">
        <v>1</v>
      </c>
    </row>
    <row r="210" spans="1:6" x14ac:dyDescent="0.25">
      <c r="A210" t="s">
        <v>6</v>
      </c>
      <c r="B210">
        <v>2034</v>
      </c>
      <c r="C210" t="s">
        <v>17</v>
      </c>
      <c r="D210" t="s">
        <v>14</v>
      </c>
      <c r="E210" t="s">
        <v>18</v>
      </c>
      <c r="F210" s="3">
        <v>1</v>
      </c>
    </row>
    <row r="211" spans="1:6" x14ac:dyDescent="0.25">
      <c r="A211" t="s">
        <v>6</v>
      </c>
      <c r="B211">
        <v>2034</v>
      </c>
      <c r="C211" t="s">
        <v>17</v>
      </c>
      <c r="D211" t="s">
        <v>14</v>
      </c>
      <c r="E211" t="s">
        <v>10</v>
      </c>
      <c r="F211" s="3">
        <v>1</v>
      </c>
    </row>
    <row r="212" spans="1:6" x14ac:dyDescent="0.25">
      <c r="A212" t="s">
        <v>6</v>
      </c>
      <c r="B212">
        <v>2034</v>
      </c>
      <c r="C212" t="s">
        <v>17</v>
      </c>
      <c r="D212" t="s">
        <v>14</v>
      </c>
      <c r="E212" t="s">
        <v>11</v>
      </c>
      <c r="F212" s="3">
        <v>1</v>
      </c>
    </row>
    <row r="213" spans="1:6" x14ac:dyDescent="0.25">
      <c r="A213" t="s">
        <v>6</v>
      </c>
      <c r="B213">
        <v>2034</v>
      </c>
      <c r="C213" t="s">
        <v>17</v>
      </c>
      <c r="D213" t="s">
        <v>53</v>
      </c>
      <c r="E213" t="s">
        <v>9</v>
      </c>
      <c r="F213" s="3">
        <v>1</v>
      </c>
    </row>
    <row r="214" spans="1:6" x14ac:dyDescent="0.25">
      <c r="A214" t="s">
        <v>6</v>
      </c>
      <c r="B214">
        <v>2034</v>
      </c>
      <c r="C214" t="s">
        <v>17</v>
      </c>
      <c r="D214" t="s">
        <v>53</v>
      </c>
      <c r="E214" t="s">
        <v>18</v>
      </c>
      <c r="F214" s="3">
        <v>1</v>
      </c>
    </row>
    <row r="215" spans="1:6" x14ac:dyDescent="0.25">
      <c r="A215" t="s">
        <v>6</v>
      </c>
      <c r="B215">
        <v>2034</v>
      </c>
      <c r="C215" t="s">
        <v>17</v>
      </c>
      <c r="D215" t="s">
        <v>53</v>
      </c>
      <c r="E215" t="s">
        <v>10</v>
      </c>
      <c r="F215" s="3">
        <v>1</v>
      </c>
    </row>
    <row r="216" spans="1:6" x14ac:dyDescent="0.25">
      <c r="A216" t="s">
        <v>6</v>
      </c>
      <c r="B216">
        <v>2034</v>
      </c>
      <c r="C216" t="s">
        <v>17</v>
      </c>
      <c r="D216" t="s">
        <v>53</v>
      </c>
      <c r="E216" t="s">
        <v>11</v>
      </c>
      <c r="F216" s="3">
        <v>1</v>
      </c>
    </row>
    <row r="217" spans="1:6" x14ac:dyDescent="0.25">
      <c r="A217" t="s">
        <v>15</v>
      </c>
      <c r="B217">
        <v>2034</v>
      </c>
      <c r="C217" t="s">
        <v>17</v>
      </c>
      <c r="D217" t="s">
        <v>8</v>
      </c>
      <c r="E217" t="s">
        <v>9</v>
      </c>
      <c r="F217" s="3">
        <v>0.91311881356800995</v>
      </c>
    </row>
    <row r="218" spans="1:6" x14ac:dyDescent="0.25">
      <c r="A218" t="s">
        <v>15</v>
      </c>
      <c r="B218">
        <v>2034</v>
      </c>
      <c r="C218" t="s">
        <v>17</v>
      </c>
      <c r="D218" t="s">
        <v>8</v>
      </c>
      <c r="E218" t="s">
        <v>18</v>
      </c>
      <c r="F218" s="3">
        <v>0.98477449510203774</v>
      </c>
    </row>
    <row r="219" spans="1:6" x14ac:dyDescent="0.25">
      <c r="A219" t="s">
        <v>15</v>
      </c>
      <c r="B219">
        <v>2034</v>
      </c>
      <c r="C219" t="s">
        <v>17</v>
      </c>
      <c r="D219" t="s">
        <v>8</v>
      </c>
      <c r="E219" t="s">
        <v>10</v>
      </c>
      <c r="F219" s="3">
        <v>0.98696276099091129</v>
      </c>
    </row>
    <row r="220" spans="1:6" x14ac:dyDescent="0.25">
      <c r="A220" t="s">
        <v>15</v>
      </c>
      <c r="B220">
        <v>2034</v>
      </c>
      <c r="C220" t="s">
        <v>17</v>
      </c>
      <c r="D220" t="s">
        <v>8</v>
      </c>
      <c r="E220" t="s">
        <v>11</v>
      </c>
      <c r="F220" s="3">
        <v>0.97680251632358206</v>
      </c>
    </row>
    <row r="221" spans="1:6" x14ac:dyDescent="0.25">
      <c r="A221" t="s">
        <v>15</v>
      </c>
      <c r="B221">
        <v>2034</v>
      </c>
      <c r="C221" t="s">
        <v>17</v>
      </c>
      <c r="D221" t="s">
        <v>12</v>
      </c>
      <c r="E221" t="s">
        <v>9</v>
      </c>
      <c r="F221" s="3">
        <v>0.91379910353539295</v>
      </c>
    </row>
    <row r="222" spans="1:6" x14ac:dyDescent="0.25">
      <c r="A222" t="s">
        <v>15</v>
      </c>
      <c r="B222">
        <v>2034</v>
      </c>
      <c r="C222" t="s">
        <v>17</v>
      </c>
      <c r="D222" t="s">
        <v>12</v>
      </c>
      <c r="E222" t="s">
        <v>18</v>
      </c>
      <c r="F222" s="3">
        <v>0.98491212721321675</v>
      </c>
    </row>
    <row r="223" spans="1:6" x14ac:dyDescent="0.25">
      <c r="A223" t="s">
        <v>15</v>
      </c>
      <c r="B223">
        <v>2034</v>
      </c>
      <c r="C223" t="s">
        <v>17</v>
      </c>
      <c r="D223" t="s">
        <v>12</v>
      </c>
      <c r="E223" t="s">
        <v>10</v>
      </c>
      <c r="F223" s="3">
        <v>0.98705744173892607</v>
      </c>
    </row>
    <row r="224" spans="1:6" x14ac:dyDescent="0.25">
      <c r="A224" t="s">
        <v>15</v>
      </c>
      <c r="B224">
        <v>2034</v>
      </c>
      <c r="C224" t="s">
        <v>17</v>
      </c>
      <c r="D224" t="s">
        <v>12</v>
      </c>
      <c r="E224" t="s">
        <v>11</v>
      </c>
      <c r="F224" s="3">
        <v>0.97695054782858171</v>
      </c>
    </row>
    <row r="225" spans="1:6" x14ac:dyDescent="0.25">
      <c r="A225" t="s">
        <v>15</v>
      </c>
      <c r="B225">
        <v>2034</v>
      </c>
      <c r="C225" t="s">
        <v>17</v>
      </c>
      <c r="D225" t="s">
        <v>13</v>
      </c>
      <c r="E225" t="s">
        <v>9</v>
      </c>
      <c r="F225" s="3">
        <v>0.90848200097264742</v>
      </c>
    </row>
    <row r="226" spans="1:6" x14ac:dyDescent="0.25">
      <c r="A226" t="s">
        <v>15</v>
      </c>
      <c r="B226">
        <v>2034</v>
      </c>
      <c r="C226" t="s">
        <v>17</v>
      </c>
      <c r="D226" t="s">
        <v>13</v>
      </c>
      <c r="E226" t="s">
        <v>18</v>
      </c>
      <c r="F226" s="3">
        <v>0.98382737971665579</v>
      </c>
    </row>
    <row r="227" spans="1:6" x14ac:dyDescent="0.25">
      <c r="A227" t="s">
        <v>15</v>
      </c>
      <c r="B227">
        <v>2034</v>
      </c>
      <c r="C227" t="s">
        <v>17</v>
      </c>
      <c r="D227" t="s">
        <v>13</v>
      </c>
      <c r="E227" t="s">
        <v>10</v>
      </c>
      <c r="F227" s="3">
        <v>0.98631607342809213</v>
      </c>
    </row>
    <row r="228" spans="1:6" x14ac:dyDescent="0.25">
      <c r="A228" t="s">
        <v>15</v>
      </c>
      <c r="B228">
        <v>2034</v>
      </c>
      <c r="C228" t="s">
        <v>17</v>
      </c>
      <c r="D228" t="s">
        <v>13</v>
      </c>
      <c r="E228" t="s">
        <v>11</v>
      </c>
      <c r="F228" s="3">
        <v>0.97580076241328517</v>
      </c>
    </row>
    <row r="229" spans="1:6" x14ac:dyDescent="0.25">
      <c r="A229" t="s">
        <v>15</v>
      </c>
      <c r="B229">
        <v>2034</v>
      </c>
      <c r="C229" t="s">
        <v>17</v>
      </c>
      <c r="D229" t="s">
        <v>14</v>
      </c>
      <c r="E229" t="s">
        <v>9</v>
      </c>
      <c r="F229" s="3">
        <v>0.94059586321929411</v>
      </c>
    </row>
    <row r="230" spans="1:6" x14ac:dyDescent="0.25">
      <c r="A230" t="s">
        <v>15</v>
      </c>
      <c r="B230">
        <v>2034</v>
      </c>
      <c r="C230" t="s">
        <v>17</v>
      </c>
      <c r="D230" t="s">
        <v>14</v>
      </c>
      <c r="E230" t="s">
        <v>18</v>
      </c>
      <c r="F230" s="3">
        <v>0.99007878892177648</v>
      </c>
    </row>
    <row r="231" spans="1:6" x14ac:dyDescent="0.25">
      <c r="A231" t="s">
        <v>15</v>
      </c>
      <c r="B231">
        <v>2034</v>
      </c>
      <c r="C231" t="s">
        <v>17</v>
      </c>
      <c r="D231" t="s">
        <v>14</v>
      </c>
      <c r="E231" t="s">
        <v>10</v>
      </c>
      <c r="F231" s="3">
        <v>0.99088875252714015</v>
      </c>
    </row>
    <row r="232" spans="1:6" x14ac:dyDescent="0.25">
      <c r="A232" t="s">
        <v>15</v>
      </c>
      <c r="B232">
        <v>2034</v>
      </c>
      <c r="C232" t="s">
        <v>17</v>
      </c>
      <c r="D232" t="s">
        <v>14</v>
      </c>
      <c r="E232" t="s">
        <v>11</v>
      </c>
      <c r="F232" s="3">
        <v>0.98316109791249662</v>
      </c>
    </row>
    <row r="233" spans="1:6" x14ac:dyDescent="0.25">
      <c r="A233" t="s">
        <v>15</v>
      </c>
      <c r="B233">
        <v>2034</v>
      </c>
      <c r="C233" t="s">
        <v>17</v>
      </c>
      <c r="D233" t="s">
        <v>53</v>
      </c>
      <c r="E233" t="s">
        <v>9</v>
      </c>
      <c r="F233" s="3">
        <v>0.91209975715638192</v>
      </c>
    </row>
    <row r="234" spans="1:6" x14ac:dyDescent="0.25">
      <c r="A234" t="s">
        <v>15</v>
      </c>
      <c r="B234">
        <v>2034</v>
      </c>
      <c r="C234" t="s">
        <v>17</v>
      </c>
      <c r="D234" t="s">
        <v>53</v>
      </c>
      <c r="E234" t="s">
        <v>18</v>
      </c>
      <c r="F234" s="3">
        <v>0.98456769612244088</v>
      </c>
    </row>
    <row r="235" spans="1:6" x14ac:dyDescent="0.25">
      <c r="A235" t="s">
        <v>15</v>
      </c>
      <c r="B235">
        <v>2034</v>
      </c>
      <c r="C235" t="s">
        <v>17</v>
      </c>
      <c r="D235" t="s">
        <v>53</v>
      </c>
      <c r="E235" t="s">
        <v>10</v>
      </c>
      <c r="F235" s="3">
        <v>0.9868194655673318</v>
      </c>
    </row>
    <row r="236" spans="1:6" x14ac:dyDescent="0.25">
      <c r="A236" t="s">
        <v>15</v>
      </c>
      <c r="B236">
        <v>2034</v>
      </c>
      <c r="C236" t="s">
        <v>17</v>
      </c>
      <c r="D236" t="s">
        <v>53</v>
      </c>
      <c r="E236" t="s">
        <v>11</v>
      </c>
      <c r="F236" s="3">
        <v>0.97657991526351362</v>
      </c>
    </row>
    <row r="237" spans="1:6" x14ac:dyDescent="0.25">
      <c r="A237" t="s">
        <v>16</v>
      </c>
      <c r="B237">
        <v>2034</v>
      </c>
      <c r="C237" t="s">
        <v>17</v>
      </c>
      <c r="D237" t="s">
        <v>8</v>
      </c>
      <c r="E237" t="s">
        <v>9</v>
      </c>
      <c r="F237" s="3">
        <v>1.0357118987174436</v>
      </c>
    </row>
    <row r="238" spans="1:6" x14ac:dyDescent="0.25">
      <c r="A238" t="s">
        <v>16</v>
      </c>
      <c r="B238">
        <v>2034</v>
      </c>
      <c r="C238" t="s">
        <v>17</v>
      </c>
      <c r="D238" t="s">
        <v>8</v>
      </c>
      <c r="E238" t="s">
        <v>18</v>
      </c>
      <c r="F238" s="3">
        <v>1.0217422579671291</v>
      </c>
    </row>
    <row r="239" spans="1:6" x14ac:dyDescent="0.25">
      <c r="A239" t="s">
        <v>16</v>
      </c>
      <c r="B239">
        <v>2034</v>
      </c>
      <c r="C239" t="s">
        <v>17</v>
      </c>
      <c r="D239" t="s">
        <v>8</v>
      </c>
      <c r="E239" t="s">
        <v>10</v>
      </c>
      <c r="F239" s="3">
        <v>1.0186173802192049</v>
      </c>
    </row>
    <row r="240" spans="1:6" x14ac:dyDescent="0.25">
      <c r="A240" t="s">
        <v>16</v>
      </c>
      <c r="B240">
        <v>2034</v>
      </c>
      <c r="C240" t="s">
        <v>17</v>
      </c>
      <c r="D240" t="s">
        <v>8</v>
      </c>
      <c r="E240" t="s">
        <v>11</v>
      </c>
      <c r="F240" s="3">
        <v>1.0331873460605747</v>
      </c>
    </row>
    <row r="241" spans="1:6" x14ac:dyDescent="0.25">
      <c r="A241" t="s">
        <v>16</v>
      </c>
      <c r="B241">
        <v>2034</v>
      </c>
      <c r="C241" t="s">
        <v>17</v>
      </c>
      <c r="D241" t="s">
        <v>12</v>
      </c>
      <c r="E241" t="s">
        <v>9</v>
      </c>
      <c r="F241" s="3">
        <v>1.0354322703259429</v>
      </c>
    </row>
    <row r="242" spans="1:6" x14ac:dyDescent="0.25">
      <c r="A242" t="s">
        <v>16</v>
      </c>
      <c r="B242">
        <v>2034</v>
      </c>
      <c r="C242" t="s">
        <v>17</v>
      </c>
      <c r="D242" t="s">
        <v>12</v>
      </c>
      <c r="E242" t="s">
        <v>18</v>
      </c>
      <c r="F242" s="3">
        <v>1.0215457171702307</v>
      </c>
    </row>
    <row r="243" spans="1:6" x14ac:dyDescent="0.25">
      <c r="A243" t="s">
        <v>16</v>
      </c>
      <c r="B243">
        <v>2034</v>
      </c>
      <c r="C243" t="s">
        <v>17</v>
      </c>
      <c r="D243" t="s">
        <v>12</v>
      </c>
      <c r="E243" t="s">
        <v>10</v>
      </c>
      <c r="F243" s="3">
        <v>1.0184821746374093</v>
      </c>
    </row>
    <row r="244" spans="1:6" x14ac:dyDescent="0.25">
      <c r="A244" t="s">
        <v>16</v>
      </c>
      <c r="B244">
        <v>2034</v>
      </c>
      <c r="C244" t="s">
        <v>17</v>
      </c>
      <c r="D244" t="s">
        <v>12</v>
      </c>
      <c r="E244" t="s">
        <v>11</v>
      </c>
      <c r="F244" s="3">
        <v>1.032975565642801</v>
      </c>
    </row>
    <row r="245" spans="1:6" x14ac:dyDescent="0.25">
      <c r="A245" t="s">
        <v>16</v>
      </c>
      <c r="B245">
        <v>2034</v>
      </c>
      <c r="C245" t="s">
        <v>17</v>
      </c>
      <c r="D245" t="s">
        <v>13</v>
      </c>
      <c r="E245" t="s">
        <v>9</v>
      </c>
      <c r="F245" s="3">
        <v>1.037617827821059</v>
      </c>
    </row>
    <row r="246" spans="1:6" x14ac:dyDescent="0.25">
      <c r="A246" t="s">
        <v>16</v>
      </c>
      <c r="B246">
        <v>2034</v>
      </c>
      <c r="C246" t="s">
        <v>17</v>
      </c>
      <c r="D246" t="s">
        <v>13</v>
      </c>
      <c r="E246" t="s">
        <v>18</v>
      </c>
      <c r="F246" s="3">
        <v>1.0230947534785499</v>
      </c>
    </row>
    <row r="247" spans="1:6" x14ac:dyDescent="0.25">
      <c r="A247" t="s">
        <v>16</v>
      </c>
      <c r="B247">
        <v>2034</v>
      </c>
      <c r="C247" t="s">
        <v>17</v>
      </c>
      <c r="D247" t="s">
        <v>13</v>
      </c>
      <c r="E247" t="s">
        <v>10</v>
      </c>
      <c r="F247" s="3">
        <v>1.0195408601240865</v>
      </c>
    </row>
    <row r="248" spans="1:6" x14ac:dyDescent="0.25">
      <c r="A248" t="s">
        <v>16</v>
      </c>
      <c r="B248">
        <v>2034</v>
      </c>
      <c r="C248" t="s">
        <v>17</v>
      </c>
      <c r="D248" t="s">
        <v>13</v>
      </c>
      <c r="E248" t="s">
        <v>11</v>
      </c>
      <c r="F248" s="3">
        <v>1.0346204995074009</v>
      </c>
    </row>
    <row r="249" spans="1:6" x14ac:dyDescent="0.25">
      <c r="A249" t="s">
        <v>16</v>
      </c>
      <c r="B249">
        <v>2034</v>
      </c>
      <c r="C249" t="s">
        <v>17</v>
      </c>
      <c r="D249" t="s">
        <v>14</v>
      </c>
      <c r="E249" t="s">
        <v>9</v>
      </c>
      <c r="F249" s="3">
        <v>1.0244176513147685</v>
      </c>
    </row>
    <row r="250" spans="1:6" x14ac:dyDescent="0.25">
      <c r="A250" t="s">
        <v>16</v>
      </c>
      <c r="B250">
        <v>2034</v>
      </c>
      <c r="C250" t="s">
        <v>17</v>
      </c>
      <c r="D250" t="s">
        <v>14</v>
      </c>
      <c r="E250" t="s">
        <v>18</v>
      </c>
      <c r="F250" s="3">
        <v>1.0141676438354399</v>
      </c>
    </row>
    <row r="251" spans="1:6" x14ac:dyDescent="0.25">
      <c r="A251" t="s">
        <v>16</v>
      </c>
      <c r="B251">
        <v>2034</v>
      </c>
      <c r="C251" t="s">
        <v>17</v>
      </c>
      <c r="D251" t="s">
        <v>14</v>
      </c>
      <c r="E251" t="s">
        <v>10</v>
      </c>
      <c r="F251" s="3">
        <v>1.0130110032005433</v>
      </c>
    </row>
    <row r="252" spans="1:6" x14ac:dyDescent="0.25">
      <c r="A252" t="s">
        <v>16</v>
      </c>
      <c r="B252">
        <v>2034</v>
      </c>
      <c r="C252" t="s">
        <v>17</v>
      </c>
      <c r="D252" t="s">
        <v>14</v>
      </c>
      <c r="E252" t="s">
        <v>11</v>
      </c>
      <c r="F252" s="3">
        <v>1.0240904780300037</v>
      </c>
    </row>
    <row r="253" spans="1:6" x14ac:dyDescent="0.25">
      <c r="A253" t="s">
        <v>16</v>
      </c>
      <c r="B253">
        <v>2034</v>
      </c>
      <c r="C253" t="s">
        <v>17</v>
      </c>
      <c r="D253" t="s">
        <v>53</v>
      </c>
      <c r="E253" t="s">
        <v>9</v>
      </c>
      <c r="F253" s="3">
        <v>1.0361307746657815</v>
      </c>
    </row>
    <row r="254" spans="1:6" x14ac:dyDescent="0.25">
      <c r="A254" t="s">
        <v>16</v>
      </c>
      <c r="B254">
        <v>2034</v>
      </c>
      <c r="C254" t="s">
        <v>17</v>
      </c>
      <c r="D254" t="s">
        <v>53</v>
      </c>
      <c r="E254" t="s">
        <v>18</v>
      </c>
      <c r="F254" s="3">
        <v>1.0220375701286546</v>
      </c>
    </row>
    <row r="255" spans="1:6" x14ac:dyDescent="0.25">
      <c r="A255" t="s">
        <v>16</v>
      </c>
      <c r="B255">
        <v>2034</v>
      </c>
      <c r="C255" t="s">
        <v>17</v>
      </c>
      <c r="D255" t="s">
        <v>53</v>
      </c>
      <c r="E255" t="s">
        <v>10</v>
      </c>
      <c r="F255" s="3">
        <v>1.0188220083143551</v>
      </c>
    </row>
    <row r="256" spans="1:6" x14ac:dyDescent="0.25">
      <c r="A256" t="s">
        <v>16</v>
      </c>
      <c r="B256">
        <v>2034</v>
      </c>
      <c r="C256" t="s">
        <v>17</v>
      </c>
      <c r="D256" t="s">
        <v>53</v>
      </c>
      <c r="E256" t="s">
        <v>11</v>
      </c>
      <c r="F256" s="3">
        <v>1.0335058089816824</v>
      </c>
    </row>
    <row r="257" spans="1:6" x14ac:dyDescent="0.25">
      <c r="A257" t="s">
        <v>6</v>
      </c>
      <c r="B257">
        <v>2050</v>
      </c>
      <c r="C257" t="s">
        <v>17</v>
      </c>
      <c r="D257" t="s">
        <v>8</v>
      </c>
      <c r="E257" t="s">
        <v>9</v>
      </c>
      <c r="F257" s="3">
        <v>1</v>
      </c>
    </row>
    <row r="258" spans="1:6" x14ac:dyDescent="0.25">
      <c r="A258" t="s">
        <v>6</v>
      </c>
      <c r="B258">
        <v>2050</v>
      </c>
      <c r="C258" t="s">
        <v>17</v>
      </c>
      <c r="D258" t="s">
        <v>8</v>
      </c>
      <c r="E258" t="s">
        <v>18</v>
      </c>
      <c r="F258" s="3">
        <v>1</v>
      </c>
    </row>
    <row r="259" spans="1:6" x14ac:dyDescent="0.25">
      <c r="A259" t="s">
        <v>6</v>
      </c>
      <c r="B259">
        <v>2050</v>
      </c>
      <c r="C259" t="s">
        <v>17</v>
      </c>
      <c r="D259" t="s">
        <v>8</v>
      </c>
      <c r="E259" t="s">
        <v>10</v>
      </c>
      <c r="F259" s="3">
        <v>1</v>
      </c>
    </row>
    <row r="260" spans="1:6" x14ac:dyDescent="0.25">
      <c r="A260" t="s">
        <v>6</v>
      </c>
      <c r="B260">
        <v>2050</v>
      </c>
      <c r="C260" t="s">
        <v>17</v>
      </c>
      <c r="D260" t="s">
        <v>8</v>
      </c>
      <c r="E260" t="s">
        <v>11</v>
      </c>
      <c r="F260" s="3">
        <v>1</v>
      </c>
    </row>
    <row r="261" spans="1:6" x14ac:dyDescent="0.25">
      <c r="A261" t="s">
        <v>6</v>
      </c>
      <c r="B261">
        <v>2050</v>
      </c>
      <c r="C261" t="s">
        <v>17</v>
      </c>
      <c r="D261" t="s">
        <v>12</v>
      </c>
      <c r="E261" t="s">
        <v>9</v>
      </c>
      <c r="F261" s="3">
        <v>1</v>
      </c>
    </row>
    <row r="262" spans="1:6" x14ac:dyDescent="0.25">
      <c r="A262" t="s">
        <v>6</v>
      </c>
      <c r="B262">
        <v>2050</v>
      </c>
      <c r="C262" t="s">
        <v>17</v>
      </c>
      <c r="D262" t="s">
        <v>12</v>
      </c>
      <c r="E262" t="s">
        <v>18</v>
      </c>
      <c r="F262" s="3">
        <v>1</v>
      </c>
    </row>
    <row r="263" spans="1:6" x14ac:dyDescent="0.25">
      <c r="A263" t="s">
        <v>6</v>
      </c>
      <c r="B263">
        <v>2050</v>
      </c>
      <c r="C263" t="s">
        <v>17</v>
      </c>
      <c r="D263" t="s">
        <v>12</v>
      </c>
      <c r="E263" t="s">
        <v>10</v>
      </c>
      <c r="F263" s="3">
        <v>1</v>
      </c>
    </row>
    <row r="264" spans="1:6" x14ac:dyDescent="0.25">
      <c r="A264" t="s">
        <v>6</v>
      </c>
      <c r="B264">
        <v>2050</v>
      </c>
      <c r="C264" t="s">
        <v>17</v>
      </c>
      <c r="D264" t="s">
        <v>12</v>
      </c>
      <c r="E264" t="s">
        <v>11</v>
      </c>
      <c r="F264" s="3">
        <v>1</v>
      </c>
    </row>
    <row r="265" spans="1:6" x14ac:dyDescent="0.25">
      <c r="A265" t="s">
        <v>6</v>
      </c>
      <c r="B265">
        <v>2050</v>
      </c>
      <c r="C265" t="s">
        <v>17</v>
      </c>
      <c r="D265" t="s">
        <v>13</v>
      </c>
      <c r="E265" t="s">
        <v>9</v>
      </c>
      <c r="F265" s="3">
        <v>1</v>
      </c>
    </row>
    <row r="266" spans="1:6" x14ac:dyDescent="0.25">
      <c r="A266" t="s">
        <v>6</v>
      </c>
      <c r="B266">
        <v>2050</v>
      </c>
      <c r="C266" t="s">
        <v>17</v>
      </c>
      <c r="D266" t="s">
        <v>13</v>
      </c>
      <c r="E266" t="s">
        <v>18</v>
      </c>
      <c r="F266" s="3">
        <v>1</v>
      </c>
    </row>
    <row r="267" spans="1:6" x14ac:dyDescent="0.25">
      <c r="A267" t="s">
        <v>6</v>
      </c>
      <c r="B267">
        <v>2050</v>
      </c>
      <c r="C267" t="s">
        <v>17</v>
      </c>
      <c r="D267" t="s">
        <v>13</v>
      </c>
      <c r="E267" t="s">
        <v>10</v>
      </c>
      <c r="F267" s="3">
        <v>1</v>
      </c>
    </row>
    <row r="268" spans="1:6" x14ac:dyDescent="0.25">
      <c r="A268" t="s">
        <v>6</v>
      </c>
      <c r="B268">
        <v>2050</v>
      </c>
      <c r="C268" t="s">
        <v>17</v>
      </c>
      <c r="D268" t="s">
        <v>13</v>
      </c>
      <c r="E268" t="s">
        <v>11</v>
      </c>
      <c r="F268" s="3">
        <v>1</v>
      </c>
    </row>
    <row r="269" spans="1:6" x14ac:dyDescent="0.25">
      <c r="A269" t="s">
        <v>6</v>
      </c>
      <c r="B269">
        <v>2050</v>
      </c>
      <c r="C269" t="s">
        <v>17</v>
      </c>
      <c r="D269" t="s">
        <v>14</v>
      </c>
      <c r="E269" t="s">
        <v>9</v>
      </c>
      <c r="F269" s="3">
        <v>1</v>
      </c>
    </row>
    <row r="270" spans="1:6" x14ac:dyDescent="0.25">
      <c r="A270" t="s">
        <v>6</v>
      </c>
      <c r="B270">
        <v>2050</v>
      </c>
      <c r="C270" t="s">
        <v>17</v>
      </c>
      <c r="D270" t="s">
        <v>14</v>
      </c>
      <c r="E270" t="s">
        <v>18</v>
      </c>
      <c r="F270" s="3">
        <v>1</v>
      </c>
    </row>
    <row r="271" spans="1:6" x14ac:dyDescent="0.25">
      <c r="A271" t="s">
        <v>6</v>
      </c>
      <c r="B271">
        <v>2050</v>
      </c>
      <c r="C271" t="s">
        <v>17</v>
      </c>
      <c r="D271" t="s">
        <v>14</v>
      </c>
      <c r="E271" t="s">
        <v>10</v>
      </c>
      <c r="F271" s="3">
        <v>1</v>
      </c>
    </row>
    <row r="272" spans="1:6" x14ac:dyDescent="0.25">
      <c r="A272" t="s">
        <v>6</v>
      </c>
      <c r="B272">
        <v>2050</v>
      </c>
      <c r="C272" t="s">
        <v>17</v>
      </c>
      <c r="D272" t="s">
        <v>14</v>
      </c>
      <c r="E272" t="s">
        <v>11</v>
      </c>
      <c r="F272" s="3">
        <v>1</v>
      </c>
    </row>
    <row r="273" spans="1:6" x14ac:dyDescent="0.25">
      <c r="A273" t="s">
        <v>6</v>
      </c>
      <c r="B273">
        <v>2050</v>
      </c>
      <c r="C273" t="s">
        <v>17</v>
      </c>
      <c r="D273" t="s">
        <v>53</v>
      </c>
      <c r="E273" t="s">
        <v>9</v>
      </c>
      <c r="F273" s="3">
        <v>1</v>
      </c>
    </row>
    <row r="274" spans="1:6" x14ac:dyDescent="0.25">
      <c r="A274" t="s">
        <v>6</v>
      </c>
      <c r="B274">
        <v>2050</v>
      </c>
      <c r="C274" t="s">
        <v>17</v>
      </c>
      <c r="D274" t="s">
        <v>53</v>
      </c>
      <c r="E274" t="s">
        <v>18</v>
      </c>
      <c r="F274" s="3">
        <v>1</v>
      </c>
    </row>
    <row r="275" spans="1:6" x14ac:dyDescent="0.25">
      <c r="A275" t="s">
        <v>6</v>
      </c>
      <c r="B275">
        <v>2050</v>
      </c>
      <c r="C275" t="s">
        <v>17</v>
      </c>
      <c r="D275" t="s">
        <v>53</v>
      </c>
      <c r="E275" t="s">
        <v>10</v>
      </c>
      <c r="F275" s="3">
        <v>1</v>
      </c>
    </row>
    <row r="276" spans="1:6" x14ac:dyDescent="0.25">
      <c r="A276" t="s">
        <v>6</v>
      </c>
      <c r="B276">
        <v>2050</v>
      </c>
      <c r="C276" t="s">
        <v>17</v>
      </c>
      <c r="D276" t="s">
        <v>53</v>
      </c>
      <c r="E276" t="s">
        <v>11</v>
      </c>
      <c r="F276" s="3">
        <v>1</v>
      </c>
    </row>
    <row r="277" spans="1:6" x14ac:dyDescent="0.25">
      <c r="A277" t="s">
        <v>15</v>
      </c>
      <c r="B277">
        <v>2050</v>
      </c>
      <c r="C277" t="s">
        <v>17</v>
      </c>
      <c r="D277" t="s">
        <v>8</v>
      </c>
      <c r="E277" t="s">
        <v>9</v>
      </c>
      <c r="F277" s="3">
        <v>0.90431046733281617</v>
      </c>
    </row>
    <row r="278" spans="1:6" x14ac:dyDescent="0.25">
      <c r="A278" t="s">
        <v>15</v>
      </c>
      <c r="B278">
        <v>2050</v>
      </c>
      <c r="C278" t="s">
        <v>17</v>
      </c>
      <c r="D278" t="s">
        <v>8</v>
      </c>
      <c r="E278" t="s">
        <v>18</v>
      </c>
      <c r="F278" s="3">
        <v>0.98066648848677651</v>
      </c>
    </row>
    <row r="279" spans="1:6" x14ac:dyDescent="0.25">
      <c r="A279" t="s">
        <v>15</v>
      </c>
      <c r="B279">
        <v>2050</v>
      </c>
      <c r="C279" t="s">
        <v>17</v>
      </c>
      <c r="D279" t="s">
        <v>8</v>
      </c>
      <c r="E279" t="s">
        <v>10</v>
      </c>
      <c r="F279" s="3">
        <v>0.98118018652284367</v>
      </c>
    </row>
    <row r="280" spans="1:6" x14ac:dyDescent="0.25">
      <c r="A280" t="s">
        <v>15</v>
      </c>
      <c r="B280">
        <v>2050</v>
      </c>
      <c r="C280" t="s">
        <v>17</v>
      </c>
      <c r="D280" t="s">
        <v>8</v>
      </c>
      <c r="E280" t="s">
        <v>11</v>
      </c>
      <c r="F280" s="3">
        <v>0.9667705247070536</v>
      </c>
    </row>
    <row r="281" spans="1:6" x14ac:dyDescent="0.25">
      <c r="A281" t="s">
        <v>15</v>
      </c>
      <c r="B281">
        <v>2050</v>
      </c>
      <c r="C281" t="s">
        <v>17</v>
      </c>
      <c r="D281" t="s">
        <v>12</v>
      </c>
      <c r="E281" t="s">
        <v>9</v>
      </c>
      <c r="F281" s="3">
        <v>0.90507894822232582</v>
      </c>
    </row>
    <row r="282" spans="1:6" x14ac:dyDescent="0.25">
      <c r="A282" t="s">
        <v>15</v>
      </c>
      <c r="B282">
        <v>2050</v>
      </c>
      <c r="C282" t="s">
        <v>17</v>
      </c>
      <c r="D282" t="s">
        <v>12</v>
      </c>
      <c r="E282" t="s">
        <v>18</v>
      </c>
      <c r="F282" s="3">
        <v>0.98084468664129654</v>
      </c>
    </row>
    <row r="283" spans="1:6" x14ac:dyDescent="0.25">
      <c r="A283" t="s">
        <v>15</v>
      </c>
      <c r="B283">
        <v>2050</v>
      </c>
      <c r="C283" t="s">
        <v>17</v>
      </c>
      <c r="D283" t="s">
        <v>12</v>
      </c>
      <c r="E283" t="s">
        <v>10</v>
      </c>
      <c r="F283" s="3">
        <v>0.98133873459721155</v>
      </c>
    </row>
    <row r="284" spans="1:6" x14ac:dyDescent="0.25">
      <c r="A284" t="s">
        <v>15</v>
      </c>
      <c r="B284">
        <v>2050</v>
      </c>
      <c r="C284" t="s">
        <v>17</v>
      </c>
      <c r="D284" t="s">
        <v>12</v>
      </c>
      <c r="E284" t="s">
        <v>11</v>
      </c>
      <c r="F284" s="3">
        <v>0.96706028296676316</v>
      </c>
    </row>
    <row r="285" spans="1:6" x14ac:dyDescent="0.25">
      <c r="A285" t="s">
        <v>15</v>
      </c>
      <c r="B285">
        <v>2050</v>
      </c>
      <c r="C285" t="s">
        <v>17</v>
      </c>
      <c r="D285" t="s">
        <v>13</v>
      </c>
      <c r="E285" t="s">
        <v>9</v>
      </c>
      <c r="F285" s="3">
        <v>0.89906424986937139</v>
      </c>
    </row>
    <row r="286" spans="1:6" x14ac:dyDescent="0.25">
      <c r="A286" t="s">
        <v>15</v>
      </c>
      <c r="B286">
        <v>2050</v>
      </c>
      <c r="C286" t="s">
        <v>17</v>
      </c>
      <c r="D286" t="s">
        <v>13</v>
      </c>
      <c r="E286" t="s">
        <v>18</v>
      </c>
      <c r="F286" s="3">
        <v>0.97943848441150672</v>
      </c>
    </row>
    <row r="287" spans="1:6" x14ac:dyDescent="0.25">
      <c r="A287" t="s">
        <v>15</v>
      </c>
      <c r="B287">
        <v>2050</v>
      </c>
      <c r="C287" t="s">
        <v>17</v>
      </c>
      <c r="D287" t="s">
        <v>13</v>
      </c>
      <c r="E287" t="s">
        <v>10</v>
      </c>
      <c r="F287" s="3">
        <v>0.98008984058990267</v>
      </c>
    </row>
    <row r="288" spans="1:6" x14ac:dyDescent="0.25">
      <c r="A288" t="s">
        <v>15</v>
      </c>
      <c r="B288">
        <v>2050</v>
      </c>
      <c r="C288" t="s">
        <v>17</v>
      </c>
      <c r="D288" t="s">
        <v>13</v>
      </c>
      <c r="E288" t="s">
        <v>11</v>
      </c>
      <c r="F288" s="3">
        <v>0.96477316930373147</v>
      </c>
    </row>
    <row r="289" spans="1:6" x14ac:dyDescent="0.25">
      <c r="A289" t="s">
        <v>15</v>
      </c>
      <c r="B289">
        <v>2050</v>
      </c>
      <c r="C289" t="s">
        <v>17</v>
      </c>
      <c r="D289" t="s">
        <v>14</v>
      </c>
      <c r="E289" t="s">
        <v>9</v>
      </c>
      <c r="F289" s="3">
        <v>0.9351040033640603</v>
      </c>
    </row>
    <row r="290" spans="1:6" x14ac:dyDescent="0.25">
      <c r="A290" t="s">
        <v>15</v>
      </c>
      <c r="B290">
        <v>2050</v>
      </c>
      <c r="C290" t="s">
        <v>17</v>
      </c>
      <c r="D290" t="s">
        <v>14</v>
      </c>
      <c r="E290" t="s">
        <v>18</v>
      </c>
      <c r="F290" s="3">
        <v>0.9874883170087837</v>
      </c>
    </row>
    <row r="291" spans="1:6" x14ac:dyDescent="0.25">
      <c r="A291" t="s">
        <v>15</v>
      </c>
      <c r="B291">
        <v>2050</v>
      </c>
      <c r="C291" t="s">
        <v>17</v>
      </c>
      <c r="D291" t="s">
        <v>14</v>
      </c>
      <c r="E291" t="s">
        <v>10</v>
      </c>
      <c r="F291" s="3">
        <v>0.98744966304684545</v>
      </c>
    </row>
    <row r="292" spans="1:6" x14ac:dyDescent="0.25">
      <c r="A292" t="s">
        <v>15</v>
      </c>
      <c r="B292">
        <v>2050</v>
      </c>
      <c r="C292" t="s">
        <v>17</v>
      </c>
      <c r="D292" t="s">
        <v>14</v>
      </c>
      <c r="E292" t="s">
        <v>11</v>
      </c>
      <c r="F292" s="3">
        <v>0.97809833594378248</v>
      </c>
    </row>
    <row r="293" spans="1:6" x14ac:dyDescent="0.25">
      <c r="A293" t="s">
        <v>15</v>
      </c>
      <c r="B293">
        <v>2050</v>
      </c>
      <c r="C293" t="s">
        <v>17</v>
      </c>
      <c r="D293" t="s">
        <v>53</v>
      </c>
      <c r="E293" t="s">
        <v>9</v>
      </c>
      <c r="F293" s="3">
        <v>0.90315872079675574</v>
      </c>
    </row>
    <row r="294" spans="1:6" x14ac:dyDescent="0.25">
      <c r="A294" t="s">
        <v>15</v>
      </c>
      <c r="B294">
        <v>2050</v>
      </c>
      <c r="C294" t="s">
        <v>17</v>
      </c>
      <c r="D294" t="s">
        <v>53</v>
      </c>
      <c r="E294" t="s">
        <v>18</v>
      </c>
      <c r="F294" s="3">
        <v>0.98039861697836606</v>
      </c>
    </row>
    <row r="295" spans="1:6" x14ac:dyDescent="0.25">
      <c r="A295" t="s">
        <v>15</v>
      </c>
      <c r="B295">
        <v>2050</v>
      </c>
      <c r="C295" t="s">
        <v>17</v>
      </c>
      <c r="D295" t="s">
        <v>53</v>
      </c>
      <c r="E295" t="s">
        <v>10</v>
      </c>
      <c r="F295" s="3">
        <v>0.98094053343434851</v>
      </c>
    </row>
    <row r="296" spans="1:6" x14ac:dyDescent="0.25">
      <c r="A296" t="s">
        <v>15</v>
      </c>
      <c r="B296">
        <v>2050</v>
      </c>
      <c r="C296" t="s">
        <v>17</v>
      </c>
      <c r="D296" t="s">
        <v>53</v>
      </c>
      <c r="E296" t="s">
        <v>11</v>
      </c>
      <c r="F296" s="3">
        <v>0.96633222048483269</v>
      </c>
    </row>
    <row r="297" spans="1:6" x14ac:dyDescent="0.25">
      <c r="A297" t="s">
        <v>16</v>
      </c>
      <c r="B297">
        <v>2050</v>
      </c>
      <c r="C297" t="s">
        <v>17</v>
      </c>
      <c r="D297" t="s">
        <v>8</v>
      </c>
      <c r="E297" t="s">
        <v>9</v>
      </c>
      <c r="F297" s="3">
        <v>1.0628816928955782</v>
      </c>
    </row>
    <row r="298" spans="1:6" x14ac:dyDescent="0.25">
      <c r="A298" t="s">
        <v>16</v>
      </c>
      <c r="B298">
        <v>2050</v>
      </c>
      <c r="C298" t="s">
        <v>17</v>
      </c>
      <c r="D298" t="s">
        <v>8</v>
      </c>
      <c r="E298" t="s">
        <v>18</v>
      </c>
      <c r="F298" s="3">
        <v>1.0181251670436473</v>
      </c>
    </row>
    <row r="299" spans="1:6" x14ac:dyDescent="0.25">
      <c r="A299" t="s">
        <v>16</v>
      </c>
      <c r="B299">
        <v>2050</v>
      </c>
      <c r="C299" t="s">
        <v>17</v>
      </c>
      <c r="D299" t="s">
        <v>8</v>
      </c>
      <c r="E299" t="s">
        <v>10</v>
      </c>
      <c r="F299" s="3">
        <v>1.0176435751348338</v>
      </c>
    </row>
    <row r="300" spans="1:6" x14ac:dyDescent="0.25">
      <c r="A300" t="s">
        <v>16</v>
      </c>
      <c r="B300">
        <v>2050</v>
      </c>
      <c r="C300" t="s">
        <v>17</v>
      </c>
      <c r="D300" t="s">
        <v>8</v>
      </c>
      <c r="E300" t="s">
        <v>11</v>
      </c>
      <c r="F300" s="3">
        <v>1.0311526330871377</v>
      </c>
    </row>
    <row r="301" spans="1:6" x14ac:dyDescent="0.25">
      <c r="A301" t="s">
        <v>16</v>
      </c>
      <c r="B301">
        <v>2050</v>
      </c>
      <c r="C301" t="s">
        <v>17</v>
      </c>
      <c r="D301" t="s">
        <v>12</v>
      </c>
      <c r="E301" t="s">
        <v>9</v>
      </c>
      <c r="F301" s="3">
        <v>1.062376691168186</v>
      </c>
    </row>
    <row r="302" spans="1:6" x14ac:dyDescent="0.25">
      <c r="A302" t="s">
        <v>16</v>
      </c>
      <c r="B302">
        <v>2050</v>
      </c>
      <c r="C302" t="s">
        <v>17</v>
      </c>
      <c r="D302" t="s">
        <v>12</v>
      </c>
      <c r="E302" t="s">
        <v>18</v>
      </c>
      <c r="F302" s="3">
        <v>1.0179581062737844</v>
      </c>
    </row>
    <row r="303" spans="1:6" x14ac:dyDescent="0.25">
      <c r="A303" t="s">
        <v>16</v>
      </c>
      <c r="B303">
        <v>2050</v>
      </c>
      <c r="C303" t="s">
        <v>17</v>
      </c>
      <c r="D303" t="s">
        <v>12</v>
      </c>
      <c r="E303" t="s">
        <v>10</v>
      </c>
      <c r="F303" s="3">
        <v>1.0174949363151145</v>
      </c>
    </row>
    <row r="304" spans="1:6" x14ac:dyDescent="0.25">
      <c r="A304" t="s">
        <v>16</v>
      </c>
      <c r="B304">
        <v>2050</v>
      </c>
      <c r="C304" t="s">
        <v>17</v>
      </c>
      <c r="D304" t="s">
        <v>12</v>
      </c>
      <c r="E304" t="s">
        <v>11</v>
      </c>
      <c r="F304" s="3">
        <v>1.0308809847186597</v>
      </c>
    </row>
    <row r="305" spans="1:6" x14ac:dyDescent="0.25">
      <c r="A305" t="s">
        <v>16</v>
      </c>
      <c r="B305">
        <v>2050</v>
      </c>
      <c r="C305" t="s">
        <v>17</v>
      </c>
      <c r="D305" t="s">
        <v>13</v>
      </c>
      <c r="E305" t="s">
        <v>9</v>
      </c>
      <c r="F305" s="3">
        <v>1.0663292072286992</v>
      </c>
    </row>
    <row r="306" spans="1:6" x14ac:dyDescent="0.25">
      <c r="A306" t="s">
        <v>16</v>
      </c>
      <c r="B306">
        <v>2050</v>
      </c>
      <c r="C306" t="s">
        <v>17</v>
      </c>
      <c r="D306" t="s">
        <v>13</v>
      </c>
      <c r="E306" t="s">
        <v>18</v>
      </c>
      <c r="F306" s="3">
        <v>1.0192764208642127</v>
      </c>
    </row>
    <row r="307" spans="1:6" x14ac:dyDescent="0.25">
      <c r="A307" t="s">
        <v>16</v>
      </c>
      <c r="B307">
        <v>2050</v>
      </c>
      <c r="C307" t="s">
        <v>17</v>
      </c>
      <c r="D307" t="s">
        <v>13</v>
      </c>
      <c r="E307" t="s">
        <v>10</v>
      </c>
      <c r="F307" s="3">
        <v>1.0186657744469665</v>
      </c>
    </row>
    <row r="308" spans="1:6" x14ac:dyDescent="0.25">
      <c r="A308" t="s">
        <v>16</v>
      </c>
      <c r="B308">
        <v>2050</v>
      </c>
      <c r="C308" t="s">
        <v>17</v>
      </c>
      <c r="D308" t="s">
        <v>13</v>
      </c>
      <c r="E308" t="s">
        <v>11</v>
      </c>
      <c r="F308" s="3">
        <v>1.0330251537777524</v>
      </c>
    </row>
    <row r="309" spans="1:6" x14ac:dyDescent="0.25">
      <c r="A309" t="s">
        <v>16</v>
      </c>
      <c r="B309">
        <v>2050</v>
      </c>
      <c r="C309" t="s">
        <v>17</v>
      </c>
      <c r="D309" t="s">
        <v>14</v>
      </c>
      <c r="E309" t="s">
        <v>9</v>
      </c>
      <c r="F309" s="3">
        <v>1.0426459406464745</v>
      </c>
    </row>
    <row r="310" spans="1:6" x14ac:dyDescent="0.25">
      <c r="A310" t="s">
        <v>16</v>
      </c>
      <c r="B310">
        <v>2050</v>
      </c>
      <c r="C310" t="s">
        <v>17</v>
      </c>
      <c r="D310" t="s">
        <v>14</v>
      </c>
      <c r="E310" t="s">
        <v>18</v>
      </c>
      <c r="F310" s="3">
        <v>1.0117297028042653</v>
      </c>
    </row>
    <row r="311" spans="1:6" x14ac:dyDescent="0.25">
      <c r="A311" t="s">
        <v>16</v>
      </c>
      <c r="B311">
        <v>2050</v>
      </c>
      <c r="C311" t="s">
        <v>17</v>
      </c>
      <c r="D311" t="s">
        <v>14</v>
      </c>
      <c r="E311" t="s">
        <v>10</v>
      </c>
      <c r="F311" s="3">
        <v>1.0117659408935826</v>
      </c>
    </row>
    <row r="312" spans="1:6" x14ac:dyDescent="0.25">
      <c r="A312" t="s">
        <v>16</v>
      </c>
      <c r="B312">
        <v>2050</v>
      </c>
      <c r="C312" t="s">
        <v>17</v>
      </c>
      <c r="D312" t="s">
        <v>14</v>
      </c>
      <c r="E312" t="s">
        <v>11</v>
      </c>
      <c r="F312" s="3">
        <v>1.0205328100527036</v>
      </c>
    </row>
    <row r="313" spans="1:6" x14ac:dyDescent="0.25">
      <c r="A313" t="s">
        <v>16</v>
      </c>
      <c r="B313">
        <v>2050</v>
      </c>
      <c r="C313" t="s">
        <v>17</v>
      </c>
      <c r="D313" t="s">
        <v>53</v>
      </c>
      <c r="E313" t="s">
        <v>9</v>
      </c>
      <c r="F313" s="3">
        <v>1.0636385549049889</v>
      </c>
    </row>
    <row r="314" spans="1:6" x14ac:dyDescent="0.25">
      <c r="A314" t="s">
        <v>16</v>
      </c>
      <c r="B314">
        <v>2050</v>
      </c>
      <c r="C314" t="s">
        <v>17</v>
      </c>
      <c r="D314" t="s">
        <v>53</v>
      </c>
      <c r="E314" t="s">
        <v>18</v>
      </c>
      <c r="F314" s="3">
        <v>1.0183762965827818</v>
      </c>
    </row>
    <row r="315" spans="1:6" x14ac:dyDescent="0.25">
      <c r="A315" t="s">
        <v>16</v>
      </c>
      <c r="B315">
        <v>2050</v>
      </c>
      <c r="C315" t="s">
        <v>17</v>
      </c>
      <c r="D315" t="s">
        <v>53</v>
      </c>
      <c r="E315" t="s">
        <v>10</v>
      </c>
      <c r="F315" s="3">
        <v>1.0178682499052982</v>
      </c>
    </row>
    <row r="316" spans="1:6" x14ac:dyDescent="0.25">
      <c r="A316" t="s">
        <v>16</v>
      </c>
      <c r="B316">
        <v>2050</v>
      </c>
      <c r="C316" t="s">
        <v>17</v>
      </c>
      <c r="D316" t="s">
        <v>53</v>
      </c>
      <c r="E316" t="s">
        <v>11</v>
      </c>
      <c r="F316" s="3">
        <v>1.0315635432954693</v>
      </c>
    </row>
    <row r="317" spans="1:6" x14ac:dyDescent="0.25">
      <c r="A317" t="s">
        <v>6</v>
      </c>
      <c r="B317">
        <v>2023</v>
      </c>
      <c r="C317" t="s">
        <v>19</v>
      </c>
      <c r="D317" t="s">
        <v>8</v>
      </c>
      <c r="E317" t="s">
        <v>55</v>
      </c>
      <c r="F317" s="3">
        <v>1</v>
      </c>
    </row>
    <row r="318" spans="1:6" x14ac:dyDescent="0.25">
      <c r="A318" t="s">
        <v>6</v>
      </c>
      <c r="B318">
        <v>2023</v>
      </c>
      <c r="C318" t="s">
        <v>19</v>
      </c>
      <c r="D318" t="s">
        <v>8</v>
      </c>
      <c r="E318" t="s">
        <v>54</v>
      </c>
      <c r="F318" s="3">
        <v>1</v>
      </c>
    </row>
    <row r="319" spans="1:6" x14ac:dyDescent="0.25">
      <c r="A319" t="s">
        <v>6</v>
      </c>
      <c r="B319">
        <v>2023</v>
      </c>
      <c r="C319" t="s">
        <v>19</v>
      </c>
      <c r="D319" t="s">
        <v>8</v>
      </c>
      <c r="E319" t="s">
        <v>11</v>
      </c>
      <c r="F319" s="3">
        <v>1</v>
      </c>
    </row>
    <row r="320" spans="1:6" x14ac:dyDescent="0.25">
      <c r="A320" t="s">
        <v>6</v>
      </c>
      <c r="B320">
        <v>2023</v>
      </c>
      <c r="C320" t="s">
        <v>19</v>
      </c>
      <c r="D320" t="s">
        <v>8</v>
      </c>
      <c r="E320" t="s">
        <v>20</v>
      </c>
      <c r="F320" s="3">
        <v>1</v>
      </c>
    </row>
    <row r="321" spans="1:6" x14ac:dyDescent="0.25">
      <c r="A321" t="s">
        <v>6</v>
      </c>
      <c r="B321">
        <v>2023</v>
      </c>
      <c r="C321" t="s">
        <v>19</v>
      </c>
      <c r="D321" t="s">
        <v>8</v>
      </c>
      <c r="E321" t="s">
        <v>21</v>
      </c>
      <c r="F321" s="3">
        <v>1</v>
      </c>
    </row>
    <row r="322" spans="1:6" x14ac:dyDescent="0.25">
      <c r="A322" t="s">
        <v>6</v>
      </c>
      <c r="B322">
        <v>2023</v>
      </c>
      <c r="C322" t="s">
        <v>19</v>
      </c>
      <c r="D322" t="s">
        <v>13</v>
      </c>
      <c r="E322" t="s">
        <v>55</v>
      </c>
      <c r="F322" s="3">
        <v>1</v>
      </c>
    </row>
    <row r="323" spans="1:6" x14ac:dyDescent="0.25">
      <c r="A323" t="s">
        <v>6</v>
      </c>
      <c r="B323">
        <v>2023</v>
      </c>
      <c r="C323" t="s">
        <v>19</v>
      </c>
      <c r="D323" t="s">
        <v>13</v>
      </c>
      <c r="E323" t="s">
        <v>54</v>
      </c>
      <c r="F323" s="3">
        <v>1</v>
      </c>
    </row>
    <row r="324" spans="1:6" x14ac:dyDescent="0.25">
      <c r="A324" t="s">
        <v>6</v>
      </c>
      <c r="B324">
        <v>2023</v>
      </c>
      <c r="C324" t="s">
        <v>19</v>
      </c>
      <c r="D324" t="s">
        <v>13</v>
      </c>
      <c r="E324" t="s">
        <v>11</v>
      </c>
      <c r="F324" s="3">
        <v>1</v>
      </c>
    </row>
    <row r="325" spans="1:6" x14ac:dyDescent="0.25">
      <c r="A325" t="s">
        <v>6</v>
      </c>
      <c r="B325">
        <v>2023</v>
      </c>
      <c r="C325" t="s">
        <v>19</v>
      </c>
      <c r="D325" t="s">
        <v>13</v>
      </c>
      <c r="E325" t="s">
        <v>20</v>
      </c>
      <c r="F325" s="3">
        <v>1</v>
      </c>
    </row>
    <row r="326" spans="1:6" x14ac:dyDescent="0.25">
      <c r="A326" t="s">
        <v>6</v>
      </c>
      <c r="B326">
        <v>2023</v>
      </c>
      <c r="C326" t="s">
        <v>19</v>
      </c>
      <c r="D326" t="s">
        <v>13</v>
      </c>
      <c r="E326" t="s">
        <v>21</v>
      </c>
      <c r="F326" s="3">
        <v>1</v>
      </c>
    </row>
    <row r="327" spans="1:6" x14ac:dyDescent="0.25">
      <c r="A327" t="s">
        <v>6</v>
      </c>
      <c r="B327">
        <v>2023</v>
      </c>
      <c r="C327" t="s">
        <v>19</v>
      </c>
      <c r="D327" t="s">
        <v>14</v>
      </c>
      <c r="E327" t="s">
        <v>55</v>
      </c>
      <c r="F327" s="3">
        <v>1</v>
      </c>
    </row>
    <row r="328" spans="1:6" x14ac:dyDescent="0.25">
      <c r="A328" t="s">
        <v>6</v>
      </c>
      <c r="B328">
        <v>2023</v>
      </c>
      <c r="C328" t="s">
        <v>19</v>
      </c>
      <c r="D328" t="s">
        <v>14</v>
      </c>
      <c r="E328" t="s">
        <v>54</v>
      </c>
      <c r="F328" s="3">
        <v>1</v>
      </c>
    </row>
    <row r="329" spans="1:6" x14ac:dyDescent="0.25">
      <c r="A329" t="s">
        <v>6</v>
      </c>
      <c r="B329">
        <v>2023</v>
      </c>
      <c r="C329" t="s">
        <v>19</v>
      </c>
      <c r="D329" t="s">
        <v>14</v>
      </c>
      <c r="E329" t="s">
        <v>11</v>
      </c>
      <c r="F329" s="3">
        <v>1</v>
      </c>
    </row>
    <row r="330" spans="1:6" x14ac:dyDescent="0.25">
      <c r="A330" t="s">
        <v>6</v>
      </c>
      <c r="B330">
        <v>2023</v>
      </c>
      <c r="C330" t="s">
        <v>19</v>
      </c>
      <c r="D330" t="s">
        <v>14</v>
      </c>
      <c r="E330" t="s">
        <v>20</v>
      </c>
      <c r="F330" s="3">
        <v>1</v>
      </c>
    </row>
    <row r="331" spans="1:6" x14ac:dyDescent="0.25">
      <c r="A331" t="s">
        <v>6</v>
      </c>
      <c r="B331">
        <v>2023</v>
      </c>
      <c r="C331" t="s">
        <v>19</v>
      </c>
      <c r="D331" t="s">
        <v>14</v>
      </c>
      <c r="E331" t="s">
        <v>21</v>
      </c>
      <c r="F331" s="3">
        <v>1</v>
      </c>
    </row>
    <row r="332" spans="1:6" x14ac:dyDescent="0.25">
      <c r="A332" t="s">
        <v>6</v>
      </c>
      <c r="B332">
        <v>2023</v>
      </c>
      <c r="C332" t="s">
        <v>19</v>
      </c>
      <c r="D332" t="s">
        <v>53</v>
      </c>
      <c r="E332" t="s">
        <v>55</v>
      </c>
      <c r="F332" s="3">
        <v>1</v>
      </c>
    </row>
    <row r="333" spans="1:6" x14ac:dyDescent="0.25">
      <c r="A333" t="s">
        <v>6</v>
      </c>
      <c r="B333">
        <v>2023</v>
      </c>
      <c r="C333" t="s">
        <v>19</v>
      </c>
      <c r="D333" t="s">
        <v>53</v>
      </c>
      <c r="E333" t="s">
        <v>54</v>
      </c>
      <c r="F333" s="3">
        <v>1</v>
      </c>
    </row>
    <row r="334" spans="1:6" x14ac:dyDescent="0.25">
      <c r="A334" t="s">
        <v>6</v>
      </c>
      <c r="B334">
        <v>2023</v>
      </c>
      <c r="C334" t="s">
        <v>19</v>
      </c>
      <c r="D334" t="s">
        <v>53</v>
      </c>
      <c r="E334" t="s">
        <v>11</v>
      </c>
      <c r="F334" s="3">
        <v>1</v>
      </c>
    </row>
    <row r="335" spans="1:6" x14ac:dyDescent="0.25">
      <c r="A335" t="s">
        <v>6</v>
      </c>
      <c r="B335">
        <v>2023</v>
      </c>
      <c r="C335" t="s">
        <v>19</v>
      </c>
      <c r="D335" t="s">
        <v>53</v>
      </c>
      <c r="E335" t="s">
        <v>20</v>
      </c>
      <c r="F335" s="3">
        <v>1</v>
      </c>
    </row>
    <row r="336" spans="1:6" x14ac:dyDescent="0.25">
      <c r="A336" t="s">
        <v>6</v>
      </c>
      <c r="B336">
        <v>2023</v>
      </c>
      <c r="C336" t="s">
        <v>19</v>
      </c>
      <c r="D336" t="s">
        <v>53</v>
      </c>
      <c r="E336" t="s">
        <v>21</v>
      </c>
      <c r="F336" s="3">
        <v>1</v>
      </c>
    </row>
    <row r="337" spans="1:6" x14ac:dyDescent="0.25">
      <c r="A337" t="s">
        <v>15</v>
      </c>
      <c r="B337">
        <v>2023</v>
      </c>
      <c r="C337" t="s">
        <v>19</v>
      </c>
      <c r="D337" t="s">
        <v>8</v>
      </c>
      <c r="E337" t="s">
        <v>55</v>
      </c>
      <c r="F337" s="3">
        <v>0.9540144524332751</v>
      </c>
    </row>
    <row r="338" spans="1:6" x14ac:dyDescent="0.25">
      <c r="A338" t="s">
        <v>15</v>
      </c>
      <c r="B338">
        <v>2023</v>
      </c>
      <c r="C338" t="s">
        <v>19</v>
      </c>
      <c r="D338" t="s">
        <v>8</v>
      </c>
      <c r="E338" t="s">
        <v>54</v>
      </c>
      <c r="F338" s="3">
        <v>0.93318422593657946</v>
      </c>
    </row>
    <row r="339" spans="1:6" x14ac:dyDescent="0.25">
      <c r="A339" t="s">
        <v>15</v>
      </c>
      <c r="B339">
        <v>2023</v>
      </c>
      <c r="C339" t="s">
        <v>19</v>
      </c>
      <c r="D339" t="s">
        <v>8</v>
      </c>
      <c r="E339" t="s">
        <v>11</v>
      </c>
      <c r="F339" s="3">
        <v>0.96146417529559902</v>
      </c>
    </row>
    <row r="340" spans="1:6" x14ac:dyDescent="0.25">
      <c r="A340" t="s">
        <v>15</v>
      </c>
      <c r="B340">
        <v>2023</v>
      </c>
      <c r="C340" t="s">
        <v>19</v>
      </c>
      <c r="D340" t="s">
        <v>8</v>
      </c>
      <c r="E340" t="s">
        <v>20</v>
      </c>
      <c r="F340" s="3">
        <v>0.95273613491746512</v>
      </c>
    </row>
    <row r="341" spans="1:6" x14ac:dyDescent="0.25">
      <c r="A341" t="s">
        <v>15</v>
      </c>
      <c r="B341">
        <v>2023</v>
      </c>
      <c r="C341" t="s">
        <v>19</v>
      </c>
      <c r="D341" t="s">
        <v>8</v>
      </c>
      <c r="E341" t="s">
        <v>21</v>
      </c>
      <c r="F341" s="3">
        <v>0.97064367546430808</v>
      </c>
    </row>
    <row r="342" spans="1:6" x14ac:dyDescent="0.25">
      <c r="A342" t="s">
        <v>15</v>
      </c>
      <c r="B342">
        <v>2023</v>
      </c>
      <c r="C342" t="s">
        <v>19</v>
      </c>
      <c r="D342" t="s">
        <v>13</v>
      </c>
      <c r="E342" t="s">
        <v>55</v>
      </c>
      <c r="F342" s="3">
        <v>0.95739313812106819</v>
      </c>
    </row>
    <row r="343" spans="1:6" x14ac:dyDescent="0.25">
      <c r="A343" t="s">
        <v>15</v>
      </c>
      <c r="B343">
        <v>2023</v>
      </c>
      <c r="C343" t="s">
        <v>19</v>
      </c>
      <c r="D343" t="s">
        <v>13</v>
      </c>
      <c r="E343" t="s">
        <v>54</v>
      </c>
      <c r="F343" s="3">
        <v>0.93646574423698159</v>
      </c>
    </row>
    <row r="344" spans="1:6" x14ac:dyDescent="0.25">
      <c r="A344" t="s">
        <v>15</v>
      </c>
      <c r="B344">
        <v>2023</v>
      </c>
      <c r="C344" t="s">
        <v>19</v>
      </c>
      <c r="D344" t="s">
        <v>13</v>
      </c>
      <c r="E344" t="s">
        <v>11</v>
      </c>
      <c r="F344" s="3">
        <v>0.96240955690171293</v>
      </c>
    </row>
    <row r="345" spans="1:6" x14ac:dyDescent="0.25">
      <c r="A345" t="s">
        <v>15</v>
      </c>
      <c r="B345">
        <v>2023</v>
      </c>
      <c r="C345" t="s">
        <v>19</v>
      </c>
      <c r="D345" t="s">
        <v>13</v>
      </c>
      <c r="E345" t="s">
        <v>20</v>
      </c>
      <c r="F345" s="3">
        <v>0.9539923433951204</v>
      </c>
    </row>
    <row r="346" spans="1:6" x14ac:dyDescent="0.25">
      <c r="A346" t="s">
        <v>15</v>
      </c>
      <c r="B346">
        <v>2023</v>
      </c>
      <c r="C346" t="s">
        <v>19</v>
      </c>
      <c r="D346" t="s">
        <v>13</v>
      </c>
      <c r="E346" t="s">
        <v>21</v>
      </c>
      <c r="F346" s="3">
        <v>0.97104646495867697</v>
      </c>
    </row>
    <row r="347" spans="1:6" x14ac:dyDescent="0.25">
      <c r="A347" t="s">
        <v>15</v>
      </c>
      <c r="B347">
        <v>2023</v>
      </c>
      <c r="C347" t="s">
        <v>19</v>
      </c>
      <c r="D347" t="s">
        <v>14</v>
      </c>
      <c r="E347" t="s">
        <v>55</v>
      </c>
      <c r="F347" s="3">
        <v>0.95400153203318749</v>
      </c>
    </row>
    <row r="348" spans="1:6" x14ac:dyDescent="0.25">
      <c r="A348" t="s">
        <v>15</v>
      </c>
      <c r="B348">
        <v>2023</v>
      </c>
      <c r="C348" t="s">
        <v>19</v>
      </c>
      <c r="D348" t="s">
        <v>14</v>
      </c>
      <c r="E348" t="s">
        <v>54</v>
      </c>
      <c r="F348" s="3">
        <v>0.93317199978713794</v>
      </c>
    </row>
    <row r="349" spans="1:6" x14ac:dyDescent="0.25">
      <c r="A349" t="s">
        <v>15</v>
      </c>
      <c r="B349">
        <v>2023</v>
      </c>
      <c r="C349" t="s">
        <v>19</v>
      </c>
      <c r="D349" t="s">
        <v>14</v>
      </c>
      <c r="E349" t="s">
        <v>11</v>
      </c>
      <c r="F349" s="3">
        <v>0.96146004754148318</v>
      </c>
    </row>
    <row r="350" spans="1:6" x14ac:dyDescent="0.25">
      <c r="A350" t="s">
        <v>15</v>
      </c>
      <c r="B350">
        <v>2023</v>
      </c>
      <c r="C350" t="s">
        <v>19</v>
      </c>
      <c r="D350" t="s">
        <v>14</v>
      </c>
      <c r="E350" t="s">
        <v>20</v>
      </c>
      <c r="F350" s="3">
        <v>0.95273082359263117</v>
      </c>
    </row>
    <row r="351" spans="1:6" x14ac:dyDescent="0.25">
      <c r="A351" t="s">
        <v>15</v>
      </c>
      <c r="B351">
        <v>2023</v>
      </c>
      <c r="C351" t="s">
        <v>19</v>
      </c>
      <c r="D351" t="s">
        <v>14</v>
      </c>
      <c r="E351" t="s">
        <v>21</v>
      </c>
      <c r="F351" s="3">
        <v>0.97064211187339855</v>
      </c>
    </row>
    <row r="352" spans="1:6" x14ac:dyDescent="0.25">
      <c r="A352" t="s">
        <v>15</v>
      </c>
      <c r="B352">
        <v>2023</v>
      </c>
      <c r="C352" t="s">
        <v>19</v>
      </c>
      <c r="D352" t="s">
        <v>53</v>
      </c>
      <c r="E352" t="s">
        <v>55</v>
      </c>
      <c r="F352" s="3">
        <v>0.95397930577775814</v>
      </c>
    </row>
    <row r="353" spans="1:6" x14ac:dyDescent="0.25">
      <c r="A353" t="s">
        <v>15</v>
      </c>
      <c r="B353">
        <v>2023</v>
      </c>
      <c r="C353" t="s">
        <v>19</v>
      </c>
      <c r="D353" t="s">
        <v>53</v>
      </c>
      <c r="E353" t="s">
        <v>54</v>
      </c>
      <c r="F353" s="3">
        <v>0.93315097341633613</v>
      </c>
    </row>
    <row r="354" spans="1:6" x14ac:dyDescent="0.25">
      <c r="A354" t="s">
        <v>15</v>
      </c>
      <c r="B354">
        <v>2023</v>
      </c>
      <c r="C354" t="s">
        <v>19</v>
      </c>
      <c r="D354" t="s">
        <v>53</v>
      </c>
      <c r="E354" t="s">
        <v>11</v>
      </c>
      <c r="F354" s="3">
        <v>0.96145488307403493</v>
      </c>
    </row>
    <row r="355" spans="1:6" x14ac:dyDescent="0.25">
      <c r="A355" t="s">
        <v>15</v>
      </c>
      <c r="B355">
        <v>2023</v>
      </c>
      <c r="C355" t="s">
        <v>19</v>
      </c>
      <c r="D355" t="s">
        <v>53</v>
      </c>
      <c r="E355" t="s">
        <v>20</v>
      </c>
      <c r="F355" s="3">
        <v>0.95272374928097547</v>
      </c>
    </row>
    <row r="356" spans="1:6" x14ac:dyDescent="0.25">
      <c r="A356" t="s">
        <v>15</v>
      </c>
      <c r="B356">
        <v>2023</v>
      </c>
      <c r="C356" t="s">
        <v>19</v>
      </c>
      <c r="D356" t="s">
        <v>53</v>
      </c>
      <c r="E356" t="s">
        <v>21</v>
      </c>
      <c r="F356" s="3">
        <v>0.97063974897970484</v>
      </c>
    </row>
    <row r="357" spans="1:6" x14ac:dyDescent="0.25">
      <c r="A357" t="s">
        <v>16</v>
      </c>
      <c r="B357">
        <v>2023</v>
      </c>
      <c r="C357" t="s">
        <v>19</v>
      </c>
      <c r="D357" t="s">
        <v>8</v>
      </c>
      <c r="E357" t="s">
        <v>55</v>
      </c>
      <c r="F357" s="3">
        <v>1.0158075319760618</v>
      </c>
    </row>
    <row r="358" spans="1:6" x14ac:dyDescent="0.25">
      <c r="A358" t="s">
        <v>16</v>
      </c>
      <c r="B358">
        <v>2023</v>
      </c>
      <c r="C358" t="s">
        <v>19</v>
      </c>
      <c r="D358" t="s">
        <v>8</v>
      </c>
      <c r="E358" t="s">
        <v>54</v>
      </c>
      <c r="F358" s="3">
        <v>1.0229679223343009</v>
      </c>
    </row>
    <row r="359" spans="1:6" x14ac:dyDescent="0.25">
      <c r="A359" t="s">
        <v>16</v>
      </c>
      <c r="B359">
        <v>2023</v>
      </c>
      <c r="C359" t="s">
        <v>19</v>
      </c>
      <c r="D359" t="s">
        <v>8</v>
      </c>
      <c r="E359" t="s">
        <v>11</v>
      </c>
      <c r="F359" s="3">
        <v>1.0879864205678518</v>
      </c>
    </row>
    <row r="360" spans="1:6" x14ac:dyDescent="0.25">
      <c r="A360" t="s">
        <v>16</v>
      </c>
      <c r="B360">
        <v>2023</v>
      </c>
      <c r="C360" t="s">
        <v>19</v>
      </c>
      <c r="D360" t="s">
        <v>8</v>
      </c>
      <c r="E360" t="s">
        <v>20</v>
      </c>
      <c r="F360" s="3">
        <v>1.1079146052462492</v>
      </c>
    </row>
    <row r="361" spans="1:6" x14ac:dyDescent="0.25">
      <c r="A361" t="s">
        <v>16</v>
      </c>
      <c r="B361">
        <v>2023</v>
      </c>
      <c r="C361" t="s">
        <v>19</v>
      </c>
      <c r="D361" t="s">
        <v>8</v>
      </c>
      <c r="E361" t="s">
        <v>21</v>
      </c>
      <c r="F361" s="3">
        <v>1.0670274461942104</v>
      </c>
    </row>
    <row r="362" spans="1:6" x14ac:dyDescent="0.25">
      <c r="A362" t="s">
        <v>16</v>
      </c>
      <c r="B362">
        <v>2023</v>
      </c>
      <c r="C362" t="s">
        <v>19</v>
      </c>
      <c r="D362" t="s">
        <v>13</v>
      </c>
      <c r="E362" t="s">
        <v>55</v>
      </c>
      <c r="F362" s="3">
        <v>1.0146461087708827</v>
      </c>
    </row>
    <row r="363" spans="1:6" x14ac:dyDescent="0.25">
      <c r="A363" t="s">
        <v>16</v>
      </c>
      <c r="B363">
        <v>2023</v>
      </c>
      <c r="C363" t="s">
        <v>19</v>
      </c>
      <c r="D363" t="s">
        <v>13</v>
      </c>
      <c r="E363" t="s">
        <v>54</v>
      </c>
      <c r="F363" s="3">
        <v>1.0218399004185375</v>
      </c>
    </row>
    <row r="364" spans="1:6" x14ac:dyDescent="0.25">
      <c r="A364" t="s">
        <v>16</v>
      </c>
      <c r="B364">
        <v>2023</v>
      </c>
      <c r="C364" t="s">
        <v>19</v>
      </c>
      <c r="D364" t="s">
        <v>13</v>
      </c>
      <c r="E364" t="s">
        <v>11</v>
      </c>
      <c r="F364" s="3">
        <v>1.0858278903111178</v>
      </c>
    </row>
    <row r="365" spans="1:6" x14ac:dyDescent="0.25">
      <c r="A365" t="s">
        <v>16</v>
      </c>
      <c r="B365">
        <v>2023</v>
      </c>
      <c r="C365" t="s">
        <v>19</v>
      </c>
      <c r="D365" t="s">
        <v>13</v>
      </c>
      <c r="E365" t="s">
        <v>20</v>
      </c>
      <c r="F365" s="3">
        <v>1.1050463835776145</v>
      </c>
    </row>
    <row r="366" spans="1:6" x14ac:dyDescent="0.25">
      <c r="A366" t="s">
        <v>16</v>
      </c>
      <c r="B366">
        <v>2023</v>
      </c>
      <c r="C366" t="s">
        <v>19</v>
      </c>
      <c r="D366" t="s">
        <v>13</v>
      </c>
      <c r="E366" t="s">
        <v>21</v>
      </c>
      <c r="F366" s="3">
        <v>1.0661077823197846</v>
      </c>
    </row>
    <row r="367" spans="1:6" x14ac:dyDescent="0.25">
      <c r="A367" t="s">
        <v>16</v>
      </c>
      <c r="B367">
        <v>2023</v>
      </c>
      <c r="C367" t="s">
        <v>19</v>
      </c>
      <c r="D367" t="s">
        <v>14</v>
      </c>
      <c r="E367" t="s">
        <v>55</v>
      </c>
      <c r="F367" s="3">
        <v>1.0158119733635917</v>
      </c>
    </row>
    <row r="368" spans="1:6" x14ac:dyDescent="0.25">
      <c r="A368" t="s">
        <v>16</v>
      </c>
      <c r="B368">
        <v>2023</v>
      </c>
      <c r="C368" t="s">
        <v>19</v>
      </c>
      <c r="D368" t="s">
        <v>14</v>
      </c>
      <c r="E368" t="s">
        <v>54</v>
      </c>
      <c r="F368" s="3">
        <v>1.0229721250731711</v>
      </c>
    </row>
    <row r="369" spans="1:6" x14ac:dyDescent="0.25">
      <c r="A369" t="s">
        <v>16</v>
      </c>
      <c r="B369">
        <v>2023</v>
      </c>
      <c r="C369" t="s">
        <v>19</v>
      </c>
      <c r="D369" t="s">
        <v>14</v>
      </c>
      <c r="E369" t="s">
        <v>11</v>
      </c>
      <c r="F369" s="3">
        <v>1.0879958452087526</v>
      </c>
    </row>
    <row r="370" spans="1:6" x14ac:dyDescent="0.25">
      <c r="A370" t="s">
        <v>16</v>
      </c>
      <c r="B370">
        <v>2023</v>
      </c>
      <c r="C370" t="s">
        <v>19</v>
      </c>
      <c r="D370" t="s">
        <v>14</v>
      </c>
      <c r="E370" t="s">
        <v>20</v>
      </c>
      <c r="F370" s="3">
        <v>1.1079267322595985</v>
      </c>
    </row>
    <row r="371" spans="1:6" x14ac:dyDescent="0.25">
      <c r="A371" t="s">
        <v>16</v>
      </c>
      <c r="B371">
        <v>2023</v>
      </c>
      <c r="C371" t="s">
        <v>19</v>
      </c>
      <c r="D371" t="s">
        <v>14</v>
      </c>
      <c r="E371" t="s">
        <v>21</v>
      </c>
      <c r="F371" s="3">
        <v>1.0670310162428187</v>
      </c>
    </row>
    <row r="372" spans="1:6" x14ac:dyDescent="0.25">
      <c r="A372" t="s">
        <v>16</v>
      </c>
      <c r="B372">
        <v>2023</v>
      </c>
      <c r="C372" t="s">
        <v>19</v>
      </c>
      <c r="D372" t="s">
        <v>53</v>
      </c>
      <c r="E372" t="s">
        <v>55</v>
      </c>
      <c r="F372" s="3">
        <v>1.0158196136388957</v>
      </c>
    </row>
    <row r="373" spans="1:6" x14ac:dyDescent="0.25">
      <c r="A373" t="s">
        <v>16</v>
      </c>
      <c r="B373">
        <v>2023</v>
      </c>
      <c r="C373" t="s">
        <v>19</v>
      </c>
      <c r="D373" t="s">
        <v>53</v>
      </c>
      <c r="E373" t="s">
        <v>54</v>
      </c>
      <c r="F373" s="3">
        <v>1.0229793528881344</v>
      </c>
    </row>
    <row r="374" spans="1:6" x14ac:dyDescent="0.25">
      <c r="A374" t="s">
        <v>16</v>
      </c>
      <c r="B374">
        <v>2023</v>
      </c>
      <c r="C374" t="s">
        <v>19</v>
      </c>
      <c r="D374" t="s">
        <v>53</v>
      </c>
      <c r="E374" t="s">
        <v>11</v>
      </c>
      <c r="F374" s="3">
        <v>1.0880076369118854</v>
      </c>
    </row>
    <row r="375" spans="1:6" x14ac:dyDescent="0.25">
      <c r="A375" t="s">
        <v>16</v>
      </c>
      <c r="B375">
        <v>2023</v>
      </c>
      <c r="C375" t="s">
        <v>19</v>
      </c>
      <c r="D375" t="s">
        <v>53</v>
      </c>
      <c r="E375" t="s">
        <v>20</v>
      </c>
      <c r="F375" s="3">
        <v>1.107942884589679</v>
      </c>
    </row>
    <row r="376" spans="1:6" x14ac:dyDescent="0.25">
      <c r="A376" t="s">
        <v>16</v>
      </c>
      <c r="B376">
        <v>2023</v>
      </c>
      <c r="C376" t="s">
        <v>19</v>
      </c>
      <c r="D376" t="s">
        <v>53</v>
      </c>
      <c r="E376" t="s">
        <v>21</v>
      </c>
      <c r="F376" s="3">
        <v>1.067036411289114</v>
      </c>
    </row>
    <row r="377" spans="1:6" x14ac:dyDescent="0.25">
      <c r="A377" t="s">
        <v>6</v>
      </c>
      <c r="B377">
        <v>2034</v>
      </c>
      <c r="C377" t="s">
        <v>19</v>
      </c>
      <c r="D377" t="s">
        <v>8</v>
      </c>
      <c r="E377" t="s">
        <v>55</v>
      </c>
      <c r="F377" s="3">
        <v>1</v>
      </c>
    </row>
    <row r="378" spans="1:6" x14ac:dyDescent="0.25">
      <c r="A378" t="s">
        <v>6</v>
      </c>
      <c r="B378">
        <v>2034</v>
      </c>
      <c r="C378" t="s">
        <v>19</v>
      </c>
      <c r="D378" t="s">
        <v>8</v>
      </c>
      <c r="E378" t="s">
        <v>54</v>
      </c>
      <c r="F378" s="3">
        <v>1</v>
      </c>
    </row>
    <row r="379" spans="1:6" x14ac:dyDescent="0.25">
      <c r="A379" t="s">
        <v>6</v>
      </c>
      <c r="B379">
        <v>2034</v>
      </c>
      <c r="C379" t="s">
        <v>19</v>
      </c>
      <c r="D379" t="s">
        <v>8</v>
      </c>
      <c r="E379" t="s">
        <v>11</v>
      </c>
      <c r="F379" s="3">
        <v>1</v>
      </c>
    </row>
    <row r="380" spans="1:6" x14ac:dyDescent="0.25">
      <c r="A380" t="s">
        <v>6</v>
      </c>
      <c r="B380">
        <v>2034</v>
      </c>
      <c r="C380" t="s">
        <v>19</v>
      </c>
      <c r="D380" t="s">
        <v>8</v>
      </c>
      <c r="E380" t="s">
        <v>20</v>
      </c>
      <c r="F380" s="3">
        <v>1</v>
      </c>
    </row>
    <row r="381" spans="1:6" x14ac:dyDescent="0.25">
      <c r="A381" t="s">
        <v>6</v>
      </c>
      <c r="B381">
        <v>2034</v>
      </c>
      <c r="C381" t="s">
        <v>19</v>
      </c>
      <c r="D381" t="s">
        <v>8</v>
      </c>
      <c r="E381" t="s">
        <v>21</v>
      </c>
      <c r="F381" s="3">
        <v>1</v>
      </c>
    </row>
    <row r="382" spans="1:6" x14ac:dyDescent="0.25">
      <c r="A382" t="s">
        <v>6</v>
      </c>
      <c r="B382">
        <v>2034</v>
      </c>
      <c r="C382" t="s">
        <v>19</v>
      </c>
      <c r="D382" t="s">
        <v>13</v>
      </c>
      <c r="E382" t="s">
        <v>55</v>
      </c>
      <c r="F382" s="3">
        <v>1</v>
      </c>
    </row>
    <row r="383" spans="1:6" x14ac:dyDescent="0.25">
      <c r="A383" t="s">
        <v>6</v>
      </c>
      <c r="B383">
        <v>2034</v>
      </c>
      <c r="C383" t="s">
        <v>19</v>
      </c>
      <c r="D383" t="s">
        <v>13</v>
      </c>
      <c r="E383" t="s">
        <v>54</v>
      </c>
      <c r="F383" s="3">
        <v>1</v>
      </c>
    </row>
    <row r="384" spans="1:6" x14ac:dyDescent="0.25">
      <c r="A384" t="s">
        <v>6</v>
      </c>
      <c r="B384">
        <v>2034</v>
      </c>
      <c r="C384" t="s">
        <v>19</v>
      </c>
      <c r="D384" t="s">
        <v>13</v>
      </c>
      <c r="E384" t="s">
        <v>11</v>
      </c>
      <c r="F384" s="3">
        <v>1</v>
      </c>
    </row>
    <row r="385" spans="1:6" x14ac:dyDescent="0.25">
      <c r="A385" t="s">
        <v>6</v>
      </c>
      <c r="B385">
        <v>2034</v>
      </c>
      <c r="C385" t="s">
        <v>19</v>
      </c>
      <c r="D385" t="s">
        <v>13</v>
      </c>
      <c r="E385" t="s">
        <v>20</v>
      </c>
      <c r="F385" s="3">
        <v>1</v>
      </c>
    </row>
    <row r="386" spans="1:6" x14ac:dyDescent="0.25">
      <c r="A386" t="s">
        <v>6</v>
      </c>
      <c r="B386">
        <v>2034</v>
      </c>
      <c r="C386" t="s">
        <v>19</v>
      </c>
      <c r="D386" t="s">
        <v>13</v>
      </c>
      <c r="E386" t="s">
        <v>21</v>
      </c>
      <c r="F386" s="3">
        <v>1</v>
      </c>
    </row>
    <row r="387" spans="1:6" x14ac:dyDescent="0.25">
      <c r="A387" t="s">
        <v>6</v>
      </c>
      <c r="B387">
        <v>2034</v>
      </c>
      <c r="C387" t="s">
        <v>19</v>
      </c>
      <c r="D387" t="s">
        <v>14</v>
      </c>
      <c r="E387" t="s">
        <v>55</v>
      </c>
      <c r="F387" s="3">
        <v>1</v>
      </c>
    </row>
    <row r="388" spans="1:6" x14ac:dyDescent="0.25">
      <c r="A388" t="s">
        <v>6</v>
      </c>
      <c r="B388">
        <v>2034</v>
      </c>
      <c r="C388" t="s">
        <v>19</v>
      </c>
      <c r="D388" t="s">
        <v>14</v>
      </c>
      <c r="E388" t="s">
        <v>54</v>
      </c>
      <c r="F388" s="3">
        <v>1</v>
      </c>
    </row>
    <row r="389" spans="1:6" x14ac:dyDescent="0.25">
      <c r="A389" t="s">
        <v>6</v>
      </c>
      <c r="B389">
        <v>2034</v>
      </c>
      <c r="C389" t="s">
        <v>19</v>
      </c>
      <c r="D389" t="s">
        <v>14</v>
      </c>
      <c r="E389" t="s">
        <v>11</v>
      </c>
      <c r="F389" s="3">
        <v>1</v>
      </c>
    </row>
    <row r="390" spans="1:6" x14ac:dyDescent="0.25">
      <c r="A390" t="s">
        <v>6</v>
      </c>
      <c r="B390">
        <v>2034</v>
      </c>
      <c r="C390" t="s">
        <v>19</v>
      </c>
      <c r="D390" t="s">
        <v>14</v>
      </c>
      <c r="E390" t="s">
        <v>20</v>
      </c>
      <c r="F390" s="3">
        <v>1</v>
      </c>
    </row>
    <row r="391" spans="1:6" x14ac:dyDescent="0.25">
      <c r="A391" t="s">
        <v>6</v>
      </c>
      <c r="B391">
        <v>2034</v>
      </c>
      <c r="C391" t="s">
        <v>19</v>
      </c>
      <c r="D391" t="s">
        <v>14</v>
      </c>
      <c r="E391" t="s">
        <v>21</v>
      </c>
      <c r="F391" s="3">
        <v>1</v>
      </c>
    </row>
    <row r="392" spans="1:6" x14ac:dyDescent="0.25">
      <c r="A392" t="s">
        <v>6</v>
      </c>
      <c r="B392">
        <v>2034</v>
      </c>
      <c r="C392" t="s">
        <v>19</v>
      </c>
      <c r="D392" t="s">
        <v>53</v>
      </c>
      <c r="E392" t="s">
        <v>55</v>
      </c>
      <c r="F392" s="3">
        <v>1</v>
      </c>
    </row>
    <row r="393" spans="1:6" x14ac:dyDescent="0.25">
      <c r="A393" t="s">
        <v>6</v>
      </c>
      <c r="B393">
        <v>2034</v>
      </c>
      <c r="C393" t="s">
        <v>19</v>
      </c>
      <c r="D393" t="s">
        <v>53</v>
      </c>
      <c r="E393" t="s">
        <v>54</v>
      </c>
      <c r="F393" s="3">
        <v>1</v>
      </c>
    </row>
    <row r="394" spans="1:6" x14ac:dyDescent="0.25">
      <c r="A394" t="s">
        <v>6</v>
      </c>
      <c r="B394">
        <v>2034</v>
      </c>
      <c r="C394" t="s">
        <v>19</v>
      </c>
      <c r="D394" t="s">
        <v>53</v>
      </c>
      <c r="E394" t="s">
        <v>11</v>
      </c>
      <c r="F394" s="3">
        <v>1</v>
      </c>
    </row>
    <row r="395" spans="1:6" x14ac:dyDescent="0.25">
      <c r="A395" t="s">
        <v>6</v>
      </c>
      <c r="B395">
        <v>2034</v>
      </c>
      <c r="C395" t="s">
        <v>19</v>
      </c>
      <c r="D395" t="s">
        <v>53</v>
      </c>
      <c r="E395" t="s">
        <v>20</v>
      </c>
      <c r="F395" s="3">
        <v>1</v>
      </c>
    </row>
    <row r="396" spans="1:6" x14ac:dyDescent="0.25">
      <c r="A396" t="s">
        <v>6</v>
      </c>
      <c r="B396">
        <v>2034</v>
      </c>
      <c r="C396" t="s">
        <v>19</v>
      </c>
      <c r="D396" t="s">
        <v>53</v>
      </c>
      <c r="E396" t="s">
        <v>21</v>
      </c>
      <c r="F396" s="3">
        <v>1</v>
      </c>
    </row>
    <row r="397" spans="1:6" x14ac:dyDescent="0.25">
      <c r="A397" t="s">
        <v>15</v>
      </c>
      <c r="B397">
        <v>2034</v>
      </c>
      <c r="C397" t="s">
        <v>19</v>
      </c>
      <c r="D397" t="s">
        <v>8</v>
      </c>
      <c r="E397" t="s">
        <v>55</v>
      </c>
      <c r="F397" s="3">
        <v>0.82870234801877418</v>
      </c>
    </row>
    <row r="398" spans="1:6" x14ac:dyDescent="0.25">
      <c r="A398" t="s">
        <v>15</v>
      </c>
      <c r="B398">
        <v>2034</v>
      </c>
      <c r="C398" t="s">
        <v>19</v>
      </c>
      <c r="D398" t="s">
        <v>8</v>
      </c>
      <c r="E398" t="s">
        <v>54</v>
      </c>
      <c r="F398" s="3">
        <v>0.73835121583803198</v>
      </c>
    </row>
    <row r="399" spans="1:6" x14ac:dyDescent="0.25">
      <c r="A399" t="s">
        <v>15</v>
      </c>
      <c r="B399">
        <v>2034</v>
      </c>
      <c r="C399" t="s">
        <v>19</v>
      </c>
      <c r="D399" t="s">
        <v>8</v>
      </c>
      <c r="E399" t="s">
        <v>11</v>
      </c>
      <c r="F399" s="3">
        <v>0.93753665040880552</v>
      </c>
    </row>
    <row r="400" spans="1:6" x14ac:dyDescent="0.25">
      <c r="A400" t="s">
        <v>15</v>
      </c>
      <c r="B400">
        <v>2034</v>
      </c>
      <c r="C400" t="s">
        <v>19</v>
      </c>
      <c r="D400" t="s">
        <v>8</v>
      </c>
      <c r="E400" t="s">
        <v>20</v>
      </c>
      <c r="F400" s="3">
        <v>0.92804871734830874</v>
      </c>
    </row>
    <row r="401" spans="1:6" x14ac:dyDescent="0.25">
      <c r="A401" t="s">
        <v>15</v>
      </c>
      <c r="B401">
        <v>2034</v>
      </c>
      <c r="C401" t="s">
        <v>19</v>
      </c>
      <c r="D401" t="s">
        <v>8</v>
      </c>
      <c r="E401" t="s">
        <v>21</v>
      </c>
      <c r="F401" s="3">
        <v>0.93916520712563734</v>
      </c>
    </row>
    <row r="402" spans="1:6" x14ac:dyDescent="0.25">
      <c r="A402" t="s">
        <v>15</v>
      </c>
      <c r="B402">
        <v>2034</v>
      </c>
      <c r="C402" t="s">
        <v>19</v>
      </c>
      <c r="D402" t="s">
        <v>13</v>
      </c>
      <c r="E402" t="s">
        <v>55</v>
      </c>
      <c r="F402" s="3">
        <v>0.84250689294898151</v>
      </c>
    </row>
    <row r="403" spans="1:6" x14ac:dyDescent="0.25">
      <c r="A403" t="s">
        <v>15</v>
      </c>
      <c r="B403">
        <v>2034</v>
      </c>
      <c r="C403" t="s">
        <v>19</v>
      </c>
      <c r="D403" t="s">
        <v>13</v>
      </c>
      <c r="E403" t="s">
        <v>54</v>
      </c>
      <c r="F403" s="3">
        <v>0.75316530828842887</v>
      </c>
    </row>
    <row r="404" spans="1:6" x14ac:dyDescent="0.25">
      <c r="A404" t="s">
        <v>15</v>
      </c>
      <c r="B404">
        <v>2034</v>
      </c>
      <c r="C404" t="s">
        <v>19</v>
      </c>
      <c r="D404" t="s">
        <v>13</v>
      </c>
      <c r="E404" t="s">
        <v>11</v>
      </c>
      <c r="F404" s="3">
        <v>0.93928673148387354</v>
      </c>
    </row>
    <row r="405" spans="1:6" x14ac:dyDescent="0.25">
      <c r="A405" t="s">
        <v>15</v>
      </c>
      <c r="B405">
        <v>2034</v>
      </c>
      <c r="C405" t="s">
        <v>19</v>
      </c>
      <c r="D405" t="s">
        <v>13</v>
      </c>
      <c r="E405" t="s">
        <v>20</v>
      </c>
      <c r="F405" s="3">
        <v>0.93010321230847193</v>
      </c>
    </row>
    <row r="406" spans="1:6" x14ac:dyDescent="0.25">
      <c r="A406" t="s">
        <v>15</v>
      </c>
      <c r="B406">
        <v>2034</v>
      </c>
      <c r="C406" t="s">
        <v>19</v>
      </c>
      <c r="D406" t="s">
        <v>13</v>
      </c>
      <c r="E406" t="s">
        <v>21</v>
      </c>
      <c r="F406" s="3">
        <v>0.94037487721817903</v>
      </c>
    </row>
    <row r="407" spans="1:6" x14ac:dyDescent="0.25">
      <c r="A407" t="s">
        <v>15</v>
      </c>
      <c r="B407">
        <v>2034</v>
      </c>
      <c r="C407" t="s">
        <v>19</v>
      </c>
      <c r="D407" t="s">
        <v>14</v>
      </c>
      <c r="E407" t="s">
        <v>55</v>
      </c>
      <c r="F407" s="3">
        <v>0.82864914807630097</v>
      </c>
    </row>
    <row r="408" spans="1:6" x14ac:dyDescent="0.25">
      <c r="A408" t="s">
        <v>15</v>
      </c>
      <c r="B408">
        <v>2034</v>
      </c>
      <c r="C408" t="s">
        <v>19</v>
      </c>
      <c r="D408" t="s">
        <v>14</v>
      </c>
      <c r="E408" t="s">
        <v>54</v>
      </c>
      <c r="F408" s="3">
        <v>0.73829558132911666</v>
      </c>
    </row>
    <row r="409" spans="1:6" x14ac:dyDescent="0.25">
      <c r="A409" t="s">
        <v>15</v>
      </c>
      <c r="B409">
        <v>2034</v>
      </c>
      <c r="C409" t="s">
        <v>19</v>
      </c>
      <c r="D409" t="s">
        <v>14</v>
      </c>
      <c r="E409" t="s">
        <v>11</v>
      </c>
      <c r="F409" s="3">
        <v>0.93752900864987176</v>
      </c>
    </row>
    <row r="410" spans="1:6" x14ac:dyDescent="0.25">
      <c r="A410" t="s">
        <v>15</v>
      </c>
      <c r="B410">
        <v>2034</v>
      </c>
      <c r="C410" t="s">
        <v>19</v>
      </c>
      <c r="D410" t="s">
        <v>14</v>
      </c>
      <c r="E410" t="s">
        <v>20</v>
      </c>
      <c r="F410" s="3">
        <v>0.92804002894442783</v>
      </c>
    </row>
    <row r="411" spans="1:6" x14ac:dyDescent="0.25">
      <c r="A411" t="s">
        <v>15</v>
      </c>
      <c r="B411">
        <v>2034</v>
      </c>
      <c r="C411" t="s">
        <v>19</v>
      </c>
      <c r="D411" t="s">
        <v>14</v>
      </c>
      <c r="E411" t="s">
        <v>21</v>
      </c>
      <c r="F411" s="3">
        <v>0.93916048165345323</v>
      </c>
    </row>
    <row r="412" spans="1:6" x14ac:dyDescent="0.25">
      <c r="A412" t="s">
        <v>15</v>
      </c>
      <c r="B412">
        <v>2034</v>
      </c>
      <c r="C412" t="s">
        <v>19</v>
      </c>
      <c r="D412" t="s">
        <v>53</v>
      </c>
      <c r="E412" t="s">
        <v>55</v>
      </c>
      <c r="F412" s="3">
        <v>0.82855762376584252</v>
      </c>
    </row>
    <row r="413" spans="1:6" x14ac:dyDescent="0.25">
      <c r="A413" t="s">
        <v>15</v>
      </c>
      <c r="B413">
        <v>2034</v>
      </c>
      <c r="C413" t="s">
        <v>19</v>
      </c>
      <c r="D413" t="s">
        <v>53</v>
      </c>
      <c r="E413" t="s">
        <v>54</v>
      </c>
      <c r="F413" s="3">
        <v>0.73819989411925202</v>
      </c>
    </row>
    <row r="414" spans="1:6" x14ac:dyDescent="0.25">
      <c r="A414" t="s">
        <v>15</v>
      </c>
      <c r="B414">
        <v>2034</v>
      </c>
      <c r="C414" t="s">
        <v>19</v>
      </c>
      <c r="D414" t="s">
        <v>53</v>
      </c>
      <c r="E414" t="s">
        <v>11</v>
      </c>
      <c r="F414" s="3">
        <v>0.93751938467810003</v>
      </c>
    </row>
    <row r="415" spans="1:6" x14ac:dyDescent="0.25">
      <c r="A415" t="s">
        <v>15</v>
      </c>
      <c r="B415">
        <v>2034</v>
      </c>
      <c r="C415" t="s">
        <v>19</v>
      </c>
      <c r="D415" t="s">
        <v>53</v>
      </c>
      <c r="E415" t="s">
        <v>20</v>
      </c>
      <c r="F415" s="3">
        <v>0.928028418354094</v>
      </c>
    </row>
    <row r="416" spans="1:6" x14ac:dyDescent="0.25">
      <c r="A416" t="s">
        <v>15</v>
      </c>
      <c r="B416">
        <v>2034</v>
      </c>
      <c r="C416" t="s">
        <v>19</v>
      </c>
      <c r="D416" t="s">
        <v>53</v>
      </c>
      <c r="E416" t="s">
        <v>21</v>
      </c>
      <c r="F416" s="3">
        <v>0.93915334009684803</v>
      </c>
    </row>
    <row r="417" spans="1:6" x14ac:dyDescent="0.25">
      <c r="A417" t="s">
        <v>16</v>
      </c>
      <c r="B417">
        <v>2034</v>
      </c>
      <c r="C417" t="s">
        <v>19</v>
      </c>
      <c r="D417" t="s">
        <v>8</v>
      </c>
      <c r="E417" t="s">
        <v>55</v>
      </c>
      <c r="F417" s="3">
        <v>1.0704106913051665</v>
      </c>
    </row>
    <row r="418" spans="1:6" x14ac:dyDescent="0.25">
      <c r="A418" t="s">
        <v>16</v>
      </c>
      <c r="B418">
        <v>2034</v>
      </c>
      <c r="C418" t="s">
        <v>19</v>
      </c>
      <c r="D418" t="s">
        <v>8</v>
      </c>
      <c r="E418" t="s">
        <v>54</v>
      </c>
      <c r="F418" s="3">
        <v>1.1075488867414225</v>
      </c>
    </row>
    <row r="419" spans="1:6" x14ac:dyDescent="0.25">
      <c r="A419" t="s">
        <v>16</v>
      </c>
      <c r="B419">
        <v>2034</v>
      </c>
      <c r="C419" t="s">
        <v>19</v>
      </c>
      <c r="D419" t="s">
        <v>8</v>
      </c>
      <c r="E419" t="s">
        <v>11</v>
      </c>
      <c r="F419" s="3">
        <v>1.0893628303785809</v>
      </c>
    </row>
    <row r="420" spans="1:6" x14ac:dyDescent="0.25">
      <c r="A420" t="s">
        <v>16</v>
      </c>
      <c r="B420">
        <v>2034</v>
      </c>
      <c r="C420" t="s">
        <v>19</v>
      </c>
      <c r="D420" t="s">
        <v>8</v>
      </c>
      <c r="E420" t="s">
        <v>20</v>
      </c>
      <c r="F420" s="3">
        <v>1.102936687020557</v>
      </c>
    </row>
    <row r="421" spans="1:6" x14ac:dyDescent="0.25">
      <c r="A421" t="s">
        <v>16</v>
      </c>
      <c r="B421">
        <v>2034</v>
      </c>
      <c r="C421" t="s">
        <v>19</v>
      </c>
      <c r="D421" t="s">
        <v>8</v>
      </c>
      <c r="E421" t="s">
        <v>21</v>
      </c>
      <c r="F421" s="3">
        <v>1.0870329451162544</v>
      </c>
    </row>
    <row r="422" spans="1:6" x14ac:dyDescent="0.25">
      <c r="A422" t="s">
        <v>16</v>
      </c>
      <c r="B422">
        <v>2034</v>
      </c>
      <c r="C422" t="s">
        <v>19</v>
      </c>
      <c r="D422" t="s">
        <v>13</v>
      </c>
      <c r="E422" t="s">
        <v>55</v>
      </c>
      <c r="F422" s="3">
        <v>1.0647364305056337</v>
      </c>
    </row>
    <row r="423" spans="1:6" x14ac:dyDescent="0.25">
      <c r="A423" t="s">
        <v>16</v>
      </c>
      <c r="B423">
        <v>2034</v>
      </c>
      <c r="C423" t="s">
        <v>19</v>
      </c>
      <c r="D423" t="s">
        <v>13</v>
      </c>
      <c r="E423" t="s">
        <v>54</v>
      </c>
      <c r="F423" s="3">
        <v>1.1014596585562899</v>
      </c>
    </row>
    <row r="424" spans="1:6" x14ac:dyDescent="0.25">
      <c r="A424" t="s">
        <v>16</v>
      </c>
      <c r="B424">
        <v>2034</v>
      </c>
      <c r="C424" t="s">
        <v>19</v>
      </c>
      <c r="D424" t="s">
        <v>13</v>
      </c>
      <c r="E424" t="s">
        <v>11</v>
      </c>
      <c r="F424" s="3">
        <v>1.0868590869949228</v>
      </c>
    </row>
    <row r="425" spans="1:6" x14ac:dyDescent="0.25">
      <c r="A425" t="s">
        <v>16</v>
      </c>
      <c r="B425">
        <v>2034</v>
      </c>
      <c r="C425" t="s">
        <v>19</v>
      </c>
      <c r="D425" t="s">
        <v>13</v>
      </c>
      <c r="E425" t="s">
        <v>20</v>
      </c>
      <c r="F425" s="3">
        <v>1.0999974356701199</v>
      </c>
    </row>
    <row r="426" spans="1:6" x14ac:dyDescent="0.25">
      <c r="A426" t="s">
        <v>16</v>
      </c>
      <c r="B426">
        <v>2034</v>
      </c>
      <c r="C426" t="s">
        <v>19</v>
      </c>
      <c r="D426" t="s">
        <v>13</v>
      </c>
      <c r="E426" t="s">
        <v>21</v>
      </c>
      <c r="F426" s="3">
        <v>1.0853023375839761</v>
      </c>
    </row>
    <row r="427" spans="1:6" x14ac:dyDescent="0.25">
      <c r="A427" t="s">
        <v>16</v>
      </c>
      <c r="B427">
        <v>2034</v>
      </c>
      <c r="C427" t="s">
        <v>19</v>
      </c>
      <c r="D427" t="s">
        <v>14</v>
      </c>
      <c r="E427" t="s">
        <v>55</v>
      </c>
      <c r="F427" s="3">
        <v>1.0704325587661827</v>
      </c>
    </row>
    <row r="428" spans="1:6" x14ac:dyDescent="0.25">
      <c r="A428" t="s">
        <v>16</v>
      </c>
      <c r="B428">
        <v>2034</v>
      </c>
      <c r="C428" t="s">
        <v>19</v>
      </c>
      <c r="D428" t="s">
        <v>14</v>
      </c>
      <c r="E428" t="s">
        <v>54</v>
      </c>
      <c r="F428" s="3">
        <v>1.1075717549137987</v>
      </c>
    </row>
    <row r="429" spans="1:6" x14ac:dyDescent="0.25">
      <c r="A429" t="s">
        <v>16</v>
      </c>
      <c r="B429">
        <v>2034</v>
      </c>
      <c r="C429" t="s">
        <v>19</v>
      </c>
      <c r="D429" t="s">
        <v>14</v>
      </c>
      <c r="E429" t="s">
        <v>11</v>
      </c>
      <c r="F429" s="3">
        <v>1.0893737630168694</v>
      </c>
    </row>
    <row r="430" spans="1:6" x14ac:dyDescent="0.25">
      <c r="A430" t="s">
        <v>16</v>
      </c>
      <c r="B430">
        <v>2034</v>
      </c>
      <c r="C430" t="s">
        <v>19</v>
      </c>
      <c r="D430" t="s">
        <v>14</v>
      </c>
      <c r="E430" t="s">
        <v>20</v>
      </c>
      <c r="F430" s="3">
        <v>1.1029491170353949</v>
      </c>
    </row>
    <row r="431" spans="1:6" x14ac:dyDescent="0.25">
      <c r="A431" t="s">
        <v>16</v>
      </c>
      <c r="B431">
        <v>2034</v>
      </c>
      <c r="C431" t="s">
        <v>19</v>
      </c>
      <c r="D431" t="s">
        <v>14</v>
      </c>
      <c r="E431" t="s">
        <v>21</v>
      </c>
      <c r="F431" s="3">
        <v>1.0870397055857457</v>
      </c>
    </row>
    <row r="432" spans="1:6" x14ac:dyDescent="0.25">
      <c r="A432" t="s">
        <v>16</v>
      </c>
      <c r="B432">
        <v>2034</v>
      </c>
      <c r="C432" t="s">
        <v>19</v>
      </c>
      <c r="D432" t="s">
        <v>53</v>
      </c>
      <c r="E432" t="s">
        <v>55</v>
      </c>
      <c r="F432" s="3">
        <v>1.0704701791882731</v>
      </c>
    </row>
    <row r="433" spans="1:6" x14ac:dyDescent="0.25">
      <c r="A433" t="s">
        <v>16</v>
      </c>
      <c r="B433">
        <v>2034</v>
      </c>
      <c r="C433" t="s">
        <v>19</v>
      </c>
      <c r="D433" t="s">
        <v>53</v>
      </c>
      <c r="E433" t="s">
        <v>54</v>
      </c>
      <c r="F433" s="3">
        <v>1.1076110864663196</v>
      </c>
    </row>
    <row r="434" spans="1:6" x14ac:dyDescent="0.25">
      <c r="A434" t="s">
        <v>16</v>
      </c>
      <c r="B434">
        <v>2034</v>
      </c>
      <c r="C434" t="s">
        <v>19</v>
      </c>
      <c r="D434" t="s">
        <v>53</v>
      </c>
      <c r="E434" t="s">
        <v>11</v>
      </c>
      <c r="F434" s="3">
        <v>1.089387531496508</v>
      </c>
    </row>
    <row r="435" spans="1:6" x14ac:dyDescent="0.25">
      <c r="A435" t="s">
        <v>16</v>
      </c>
      <c r="B435">
        <v>2034</v>
      </c>
      <c r="C435" t="s">
        <v>19</v>
      </c>
      <c r="D435" t="s">
        <v>53</v>
      </c>
      <c r="E435" t="s">
        <v>20</v>
      </c>
      <c r="F435" s="3">
        <v>1.1029657276594071</v>
      </c>
    </row>
    <row r="436" spans="1:6" x14ac:dyDescent="0.25">
      <c r="A436" t="s">
        <v>16</v>
      </c>
      <c r="B436">
        <v>2034</v>
      </c>
      <c r="C436" t="s">
        <v>19</v>
      </c>
      <c r="D436" t="s">
        <v>53</v>
      </c>
      <c r="E436" t="s">
        <v>21</v>
      </c>
      <c r="F436" s="3">
        <v>1.0870499226124619</v>
      </c>
    </row>
    <row r="437" spans="1:6" x14ac:dyDescent="0.25">
      <c r="A437" t="s">
        <v>6</v>
      </c>
      <c r="B437">
        <v>2050</v>
      </c>
      <c r="C437" t="s">
        <v>19</v>
      </c>
      <c r="D437" t="s">
        <v>8</v>
      </c>
      <c r="E437" t="s">
        <v>55</v>
      </c>
      <c r="F437" s="3">
        <v>1</v>
      </c>
    </row>
    <row r="438" spans="1:6" x14ac:dyDescent="0.25">
      <c r="A438" t="s">
        <v>6</v>
      </c>
      <c r="B438">
        <v>2050</v>
      </c>
      <c r="C438" t="s">
        <v>19</v>
      </c>
      <c r="D438" t="s">
        <v>8</v>
      </c>
      <c r="E438" t="s">
        <v>54</v>
      </c>
      <c r="F438" s="3">
        <v>1</v>
      </c>
    </row>
    <row r="439" spans="1:6" x14ac:dyDescent="0.25">
      <c r="A439" t="s">
        <v>6</v>
      </c>
      <c r="B439">
        <v>2050</v>
      </c>
      <c r="C439" t="s">
        <v>19</v>
      </c>
      <c r="D439" t="s">
        <v>8</v>
      </c>
      <c r="E439" t="s">
        <v>11</v>
      </c>
      <c r="F439" s="3">
        <v>1</v>
      </c>
    </row>
    <row r="440" spans="1:6" x14ac:dyDescent="0.25">
      <c r="A440" t="s">
        <v>6</v>
      </c>
      <c r="B440">
        <v>2050</v>
      </c>
      <c r="C440" t="s">
        <v>19</v>
      </c>
      <c r="D440" t="s">
        <v>8</v>
      </c>
      <c r="E440" t="s">
        <v>20</v>
      </c>
      <c r="F440" s="3">
        <v>1</v>
      </c>
    </row>
    <row r="441" spans="1:6" x14ac:dyDescent="0.25">
      <c r="A441" t="s">
        <v>6</v>
      </c>
      <c r="B441">
        <v>2050</v>
      </c>
      <c r="C441" t="s">
        <v>19</v>
      </c>
      <c r="D441" t="s">
        <v>8</v>
      </c>
      <c r="E441" t="s">
        <v>21</v>
      </c>
      <c r="F441" s="3">
        <v>1</v>
      </c>
    </row>
    <row r="442" spans="1:6" x14ac:dyDescent="0.25">
      <c r="A442" t="s">
        <v>6</v>
      </c>
      <c r="B442">
        <v>2050</v>
      </c>
      <c r="C442" t="s">
        <v>19</v>
      </c>
      <c r="D442" t="s">
        <v>13</v>
      </c>
      <c r="E442" t="s">
        <v>55</v>
      </c>
      <c r="F442" s="3">
        <v>1</v>
      </c>
    </row>
    <row r="443" spans="1:6" x14ac:dyDescent="0.25">
      <c r="A443" t="s">
        <v>6</v>
      </c>
      <c r="B443">
        <v>2050</v>
      </c>
      <c r="C443" t="s">
        <v>19</v>
      </c>
      <c r="D443" t="s">
        <v>13</v>
      </c>
      <c r="E443" t="s">
        <v>54</v>
      </c>
      <c r="F443" s="3">
        <v>1</v>
      </c>
    </row>
    <row r="444" spans="1:6" x14ac:dyDescent="0.25">
      <c r="A444" t="s">
        <v>6</v>
      </c>
      <c r="B444">
        <v>2050</v>
      </c>
      <c r="C444" t="s">
        <v>19</v>
      </c>
      <c r="D444" t="s">
        <v>13</v>
      </c>
      <c r="E444" t="s">
        <v>11</v>
      </c>
      <c r="F444" s="3">
        <v>1</v>
      </c>
    </row>
    <row r="445" spans="1:6" x14ac:dyDescent="0.25">
      <c r="A445" t="s">
        <v>6</v>
      </c>
      <c r="B445">
        <v>2050</v>
      </c>
      <c r="C445" t="s">
        <v>19</v>
      </c>
      <c r="D445" t="s">
        <v>13</v>
      </c>
      <c r="E445" t="s">
        <v>20</v>
      </c>
      <c r="F445" s="3">
        <v>1</v>
      </c>
    </row>
    <row r="446" spans="1:6" x14ac:dyDescent="0.25">
      <c r="A446" t="s">
        <v>6</v>
      </c>
      <c r="B446">
        <v>2050</v>
      </c>
      <c r="C446" t="s">
        <v>19</v>
      </c>
      <c r="D446" t="s">
        <v>13</v>
      </c>
      <c r="E446" t="s">
        <v>21</v>
      </c>
      <c r="F446" s="3">
        <v>1</v>
      </c>
    </row>
    <row r="447" spans="1:6" x14ac:dyDescent="0.25">
      <c r="A447" t="s">
        <v>6</v>
      </c>
      <c r="B447">
        <v>2050</v>
      </c>
      <c r="C447" t="s">
        <v>19</v>
      </c>
      <c r="D447" t="s">
        <v>14</v>
      </c>
      <c r="E447" t="s">
        <v>55</v>
      </c>
      <c r="F447" s="3">
        <v>1</v>
      </c>
    </row>
    <row r="448" spans="1:6" x14ac:dyDescent="0.25">
      <c r="A448" t="s">
        <v>6</v>
      </c>
      <c r="B448">
        <v>2050</v>
      </c>
      <c r="C448" t="s">
        <v>19</v>
      </c>
      <c r="D448" t="s">
        <v>14</v>
      </c>
      <c r="E448" t="s">
        <v>54</v>
      </c>
      <c r="F448" s="3">
        <v>1</v>
      </c>
    </row>
    <row r="449" spans="1:6" x14ac:dyDescent="0.25">
      <c r="A449" t="s">
        <v>6</v>
      </c>
      <c r="B449">
        <v>2050</v>
      </c>
      <c r="C449" t="s">
        <v>19</v>
      </c>
      <c r="D449" t="s">
        <v>14</v>
      </c>
      <c r="E449" t="s">
        <v>11</v>
      </c>
      <c r="F449" s="3">
        <v>1</v>
      </c>
    </row>
    <row r="450" spans="1:6" x14ac:dyDescent="0.25">
      <c r="A450" t="s">
        <v>6</v>
      </c>
      <c r="B450">
        <v>2050</v>
      </c>
      <c r="C450" t="s">
        <v>19</v>
      </c>
      <c r="D450" t="s">
        <v>14</v>
      </c>
      <c r="E450" t="s">
        <v>20</v>
      </c>
      <c r="F450" s="3">
        <v>1</v>
      </c>
    </row>
    <row r="451" spans="1:6" x14ac:dyDescent="0.25">
      <c r="A451" t="s">
        <v>6</v>
      </c>
      <c r="B451">
        <v>2050</v>
      </c>
      <c r="C451" t="s">
        <v>19</v>
      </c>
      <c r="D451" t="s">
        <v>14</v>
      </c>
      <c r="E451" t="s">
        <v>21</v>
      </c>
      <c r="F451" s="3">
        <v>1</v>
      </c>
    </row>
    <row r="452" spans="1:6" x14ac:dyDescent="0.25">
      <c r="A452" t="s">
        <v>6</v>
      </c>
      <c r="B452">
        <v>2050</v>
      </c>
      <c r="C452" t="s">
        <v>19</v>
      </c>
      <c r="D452" t="s">
        <v>53</v>
      </c>
      <c r="E452" t="s">
        <v>55</v>
      </c>
      <c r="F452" s="3">
        <v>1</v>
      </c>
    </row>
    <row r="453" spans="1:6" x14ac:dyDescent="0.25">
      <c r="A453" t="s">
        <v>6</v>
      </c>
      <c r="B453">
        <v>2050</v>
      </c>
      <c r="C453" t="s">
        <v>19</v>
      </c>
      <c r="D453" t="s">
        <v>53</v>
      </c>
      <c r="E453" t="s">
        <v>54</v>
      </c>
      <c r="F453" s="3">
        <v>1</v>
      </c>
    </row>
    <row r="454" spans="1:6" x14ac:dyDescent="0.25">
      <c r="A454" t="s">
        <v>6</v>
      </c>
      <c r="B454">
        <v>2050</v>
      </c>
      <c r="C454" t="s">
        <v>19</v>
      </c>
      <c r="D454" t="s">
        <v>53</v>
      </c>
      <c r="E454" t="s">
        <v>11</v>
      </c>
      <c r="F454" s="3">
        <v>1</v>
      </c>
    </row>
    <row r="455" spans="1:6" x14ac:dyDescent="0.25">
      <c r="A455" t="s">
        <v>6</v>
      </c>
      <c r="B455">
        <v>2050</v>
      </c>
      <c r="C455" t="s">
        <v>19</v>
      </c>
      <c r="D455" t="s">
        <v>53</v>
      </c>
      <c r="E455" t="s">
        <v>20</v>
      </c>
      <c r="F455" s="3">
        <v>1</v>
      </c>
    </row>
    <row r="456" spans="1:6" x14ac:dyDescent="0.25">
      <c r="A456" t="s">
        <v>6</v>
      </c>
      <c r="B456">
        <v>2050</v>
      </c>
      <c r="C456" t="s">
        <v>19</v>
      </c>
      <c r="D456" t="s">
        <v>53</v>
      </c>
      <c r="E456" t="s">
        <v>21</v>
      </c>
      <c r="F456" s="3">
        <v>1</v>
      </c>
    </row>
    <row r="457" spans="1:6" x14ac:dyDescent="0.25">
      <c r="A457" t="s">
        <v>15</v>
      </c>
      <c r="B457">
        <v>2050</v>
      </c>
      <c r="C457" t="s">
        <v>19</v>
      </c>
      <c r="D457" t="s">
        <v>8</v>
      </c>
      <c r="E457" t="s">
        <v>55</v>
      </c>
      <c r="F457" s="3">
        <v>0.81532004109965084</v>
      </c>
    </row>
    <row r="458" spans="1:6" x14ac:dyDescent="0.25">
      <c r="A458" t="s">
        <v>15</v>
      </c>
      <c r="B458">
        <v>2050</v>
      </c>
      <c r="C458" t="s">
        <v>19</v>
      </c>
      <c r="D458" t="s">
        <v>8</v>
      </c>
      <c r="E458" t="s">
        <v>54</v>
      </c>
      <c r="F458" s="3">
        <v>0.70353751502792938</v>
      </c>
    </row>
    <row r="459" spans="1:6" x14ac:dyDescent="0.25">
      <c r="A459" t="s">
        <v>15</v>
      </c>
      <c r="B459">
        <v>2050</v>
      </c>
      <c r="C459" t="s">
        <v>19</v>
      </c>
      <c r="D459" t="s">
        <v>8</v>
      </c>
      <c r="E459" t="s">
        <v>11</v>
      </c>
      <c r="F459" s="3">
        <v>0.90430088955906274</v>
      </c>
    </row>
    <row r="460" spans="1:6" x14ac:dyDescent="0.25">
      <c r="A460" t="s">
        <v>15</v>
      </c>
      <c r="B460">
        <v>2050</v>
      </c>
      <c r="C460" t="s">
        <v>19</v>
      </c>
      <c r="D460" t="s">
        <v>8</v>
      </c>
      <c r="E460" t="s">
        <v>20</v>
      </c>
      <c r="F460" s="3">
        <v>0.89370673662032452</v>
      </c>
    </row>
    <row r="461" spans="1:6" x14ac:dyDescent="0.25">
      <c r="A461" t="s">
        <v>15</v>
      </c>
      <c r="B461">
        <v>2050</v>
      </c>
      <c r="C461" t="s">
        <v>19</v>
      </c>
      <c r="D461" t="s">
        <v>8</v>
      </c>
      <c r="E461" t="s">
        <v>21</v>
      </c>
      <c r="F461" s="3">
        <v>0.89553183496293787</v>
      </c>
    </row>
    <row r="462" spans="1:6" x14ac:dyDescent="0.25">
      <c r="A462" t="s">
        <v>15</v>
      </c>
      <c r="B462">
        <v>2050</v>
      </c>
      <c r="C462" t="s">
        <v>19</v>
      </c>
      <c r="D462" t="s">
        <v>13</v>
      </c>
      <c r="E462" t="s">
        <v>55</v>
      </c>
      <c r="F462" s="3">
        <v>0.83119752026718741</v>
      </c>
    </row>
    <row r="463" spans="1:6" x14ac:dyDescent="0.25">
      <c r="A463" t="s">
        <v>15</v>
      </c>
      <c r="B463">
        <v>2050</v>
      </c>
      <c r="C463" t="s">
        <v>19</v>
      </c>
      <c r="D463" t="s">
        <v>13</v>
      </c>
      <c r="E463" t="s">
        <v>54</v>
      </c>
      <c r="F463" s="3">
        <v>0.72233155842612773</v>
      </c>
    </row>
    <row r="464" spans="1:6" x14ac:dyDescent="0.25">
      <c r="A464" t="s">
        <v>15</v>
      </c>
      <c r="B464">
        <v>2050</v>
      </c>
      <c r="C464" t="s">
        <v>19</v>
      </c>
      <c r="D464" t="s">
        <v>13</v>
      </c>
      <c r="E464" t="s">
        <v>11</v>
      </c>
      <c r="F464" s="3">
        <v>0.9082311684216422</v>
      </c>
    </row>
    <row r="465" spans="1:6" x14ac:dyDescent="0.25">
      <c r="A465" t="s">
        <v>15</v>
      </c>
      <c r="B465">
        <v>2050</v>
      </c>
      <c r="C465" t="s">
        <v>19</v>
      </c>
      <c r="D465" t="s">
        <v>13</v>
      </c>
      <c r="E465" t="s">
        <v>20</v>
      </c>
      <c r="F465" s="3">
        <v>0.89800367098986189</v>
      </c>
    </row>
    <row r="466" spans="1:6" x14ac:dyDescent="0.25">
      <c r="A466" t="s">
        <v>15</v>
      </c>
      <c r="B466">
        <v>2050</v>
      </c>
      <c r="C466" t="s">
        <v>19</v>
      </c>
      <c r="D466" t="s">
        <v>13</v>
      </c>
      <c r="E466" t="s">
        <v>21</v>
      </c>
      <c r="F466" s="3">
        <v>0.89880257328573265</v>
      </c>
    </row>
    <row r="467" spans="1:6" x14ac:dyDescent="0.25">
      <c r="A467" t="s">
        <v>15</v>
      </c>
      <c r="B467">
        <v>2050</v>
      </c>
      <c r="C467" t="s">
        <v>19</v>
      </c>
      <c r="D467" t="s">
        <v>14</v>
      </c>
      <c r="E467" t="s">
        <v>55</v>
      </c>
      <c r="F467" s="3">
        <v>0.81525849060209021</v>
      </c>
    </row>
    <row r="468" spans="1:6" x14ac:dyDescent="0.25">
      <c r="A468" t="s">
        <v>15</v>
      </c>
      <c r="B468">
        <v>2050</v>
      </c>
      <c r="C468" t="s">
        <v>19</v>
      </c>
      <c r="D468" t="s">
        <v>14</v>
      </c>
      <c r="E468" t="s">
        <v>54</v>
      </c>
      <c r="F468" s="3">
        <v>0.70346642119445302</v>
      </c>
    </row>
    <row r="469" spans="1:6" x14ac:dyDescent="0.25">
      <c r="A469" t="s">
        <v>15</v>
      </c>
      <c r="B469">
        <v>2050</v>
      </c>
      <c r="C469" t="s">
        <v>19</v>
      </c>
      <c r="D469" t="s">
        <v>14</v>
      </c>
      <c r="E469" t="s">
        <v>11</v>
      </c>
      <c r="F469" s="3">
        <v>0.90428400973451495</v>
      </c>
    </row>
    <row r="470" spans="1:6" x14ac:dyDescent="0.25">
      <c r="A470" t="s">
        <v>15</v>
      </c>
      <c r="B470">
        <v>2050</v>
      </c>
      <c r="C470" t="s">
        <v>19</v>
      </c>
      <c r="D470" t="s">
        <v>14</v>
      </c>
      <c r="E470" t="s">
        <v>20</v>
      </c>
      <c r="F470" s="3">
        <v>0.89368862124159154</v>
      </c>
    </row>
    <row r="471" spans="1:6" x14ac:dyDescent="0.25">
      <c r="A471" t="s">
        <v>15</v>
      </c>
      <c r="B471">
        <v>2050</v>
      </c>
      <c r="C471" t="s">
        <v>19</v>
      </c>
      <c r="D471" t="s">
        <v>14</v>
      </c>
      <c r="E471" t="s">
        <v>21</v>
      </c>
      <c r="F471" s="3">
        <v>0.89551890682952884</v>
      </c>
    </row>
    <row r="472" spans="1:6" x14ac:dyDescent="0.25">
      <c r="A472" t="s">
        <v>15</v>
      </c>
      <c r="B472">
        <v>2050</v>
      </c>
      <c r="C472" t="s">
        <v>19</v>
      </c>
      <c r="D472" t="s">
        <v>53</v>
      </c>
      <c r="E472" t="s">
        <v>55</v>
      </c>
      <c r="F472" s="3">
        <v>0.81515259359266967</v>
      </c>
    </row>
    <row r="473" spans="1:6" x14ac:dyDescent="0.25">
      <c r="A473" t="s">
        <v>15</v>
      </c>
      <c r="B473">
        <v>2050</v>
      </c>
      <c r="C473" t="s">
        <v>19</v>
      </c>
      <c r="D473" t="s">
        <v>53</v>
      </c>
      <c r="E473" t="s">
        <v>54</v>
      </c>
      <c r="F473" s="3">
        <v>0.70334413606128077</v>
      </c>
    </row>
    <row r="474" spans="1:6" x14ac:dyDescent="0.25">
      <c r="A474" t="s">
        <v>15</v>
      </c>
      <c r="B474">
        <v>2050</v>
      </c>
      <c r="C474" t="s">
        <v>19</v>
      </c>
      <c r="D474" t="s">
        <v>53</v>
      </c>
      <c r="E474" t="s">
        <v>11</v>
      </c>
      <c r="F474" s="3">
        <v>0.90426154805164216</v>
      </c>
    </row>
    <row r="475" spans="1:6" x14ac:dyDescent="0.25">
      <c r="A475" t="s">
        <v>15</v>
      </c>
      <c r="B475">
        <v>2050</v>
      </c>
      <c r="C475" t="s">
        <v>19</v>
      </c>
      <c r="D475" t="s">
        <v>53</v>
      </c>
      <c r="E475" t="s">
        <v>20</v>
      </c>
      <c r="F475" s="3">
        <v>0.89366373306301206</v>
      </c>
    </row>
    <row r="476" spans="1:6" x14ac:dyDescent="0.25">
      <c r="A476" t="s">
        <v>15</v>
      </c>
      <c r="B476">
        <v>2050</v>
      </c>
      <c r="C476" t="s">
        <v>19</v>
      </c>
      <c r="D476" t="s">
        <v>53</v>
      </c>
      <c r="E476" t="s">
        <v>21</v>
      </c>
      <c r="F476" s="3">
        <v>0.89549936641626593</v>
      </c>
    </row>
    <row r="477" spans="1:6" x14ac:dyDescent="0.25">
      <c r="A477" t="s">
        <v>16</v>
      </c>
      <c r="B477">
        <v>2050</v>
      </c>
      <c r="C477" t="s">
        <v>19</v>
      </c>
      <c r="D477" t="s">
        <v>8</v>
      </c>
      <c r="E477" t="s">
        <v>55</v>
      </c>
      <c r="F477" s="3">
        <v>1.121361115848801</v>
      </c>
    </row>
    <row r="478" spans="1:6" x14ac:dyDescent="0.25">
      <c r="A478" t="s">
        <v>16</v>
      </c>
      <c r="B478">
        <v>2050</v>
      </c>
      <c r="C478" t="s">
        <v>19</v>
      </c>
      <c r="D478" t="s">
        <v>8</v>
      </c>
      <c r="E478" t="s">
        <v>54</v>
      </c>
      <c r="F478" s="3">
        <v>1.1948182044102178</v>
      </c>
    </row>
    <row r="479" spans="1:6" x14ac:dyDescent="0.25">
      <c r="A479" t="s">
        <v>16</v>
      </c>
      <c r="B479">
        <v>2050</v>
      </c>
      <c r="C479" t="s">
        <v>19</v>
      </c>
      <c r="D479" t="s">
        <v>8</v>
      </c>
      <c r="E479" t="s">
        <v>11</v>
      </c>
      <c r="F479" s="3">
        <v>1.0897179160383792</v>
      </c>
    </row>
    <row r="480" spans="1:6" x14ac:dyDescent="0.25">
      <c r="A480" t="s">
        <v>16</v>
      </c>
      <c r="B480">
        <v>2050</v>
      </c>
      <c r="C480" t="s">
        <v>19</v>
      </c>
      <c r="D480" t="s">
        <v>8</v>
      </c>
      <c r="E480" t="s">
        <v>20</v>
      </c>
      <c r="F480" s="3">
        <v>1.0996499344184461</v>
      </c>
    </row>
    <row r="481" spans="1:6" x14ac:dyDescent="0.25">
      <c r="A481" t="s">
        <v>16</v>
      </c>
      <c r="B481">
        <v>2050</v>
      </c>
      <c r="C481" t="s">
        <v>19</v>
      </c>
      <c r="D481" t="s">
        <v>8</v>
      </c>
      <c r="E481" t="s">
        <v>21</v>
      </c>
      <c r="F481" s="3">
        <v>1.0979389047222459</v>
      </c>
    </row>
    <row r="482" spans="1:6" x14ac:dyDescent="0.25">
      <c r="A482" t="s">
        <v>16</v>
      </c>
      <c r="B482">
        <v>2050</v>
      </c>
      <c r="C482" t="s">
        <v>19</v>
      </c>
      <c r="D482" t="s">
        <v>13</v>
      </c>
      <c r="E482" t="s">
        <v>55</v>
      </c>
      <c r="F482" s="3">
        <v>1.1109273438244194</v>
      </c>
    </row>
    <row r="483" spans="1:6" x14ac:dyDescent="0.25">
      <c r="A483" t="s">
        <v>16</v>
      </c>
      <c r="B483">
        <v>2050</v>
      </c>
      <c r="C483" t="s">
        <v>19</v>
      </c>
      <c r="D483" t="s">
        <v>13</v>
      </c>
      <c r="E483" t="s">
        <v>54</v>
      </c>
      <c r="F483" s="3">
        <v>1.1824678330342591</v>
      </c>
    </row>
    <row r="484" spans="1:6" x14ac:dyDescent="0.25">
      <c r="A484" t="s">
        <v>16</v>
      </c>
      <c r="B484">
        <v>2050</v>
      </c>
      <c r="C484" t="s">
        <v>19</v>
      </c>
      <c r="D484" t="s">
        <v>13</v>
      </c>
      <c r="E484" t="s">
        <v>11</v>
      </c>
      <c r="F484" s="3">
        <v>1.0860332796047107</v>
      </c>
    </row>
    <row r="485" spans="1:6" x14ac:dyDescent="0.25">
      <c r="A485" t="s">
        <v>16</v>
      </c>
      <c r="B485">
        <v>2050</v>
      </c>
      <c r="C485" t="s">
        <v>19</v>
      </c>
      <c r="D485" t="s">
        <v>13</v>
      </c>
      <c r="E485" t="s">
        <v>20</v>
      </c>
      <c r="F485" s="3">
        <v>1.0956215584470046</v>
      </c>
    </row>
    <row r="486" spans="1:6" x14ac:dyDescent="0.25">
      <c r="A486" t="s">
        <v>16</v>
      </c>
      <c r="B486">
        <v>2050</v>
      </c>
      <c r="C486" t="s">
        <v>19</v>
      </c>
      <c r="D486" t="s">
        <v>13</v>
      </c>
      <c r="E486" t="s">
        <v>21</v>
      </c>
      <c r="F486" s="3">
        <v>1.0948725875446259</v>
      </c>
    </row>
    <row r="487" spans="1:6" x14ac:dyDescent="0.25">
      <c r="A487" t="s">
        <v>16</v>
      </c>
      <c r="B487">
        <v>2050</v>
      </c>
      <c r="C487" t="s">
        <v>19</v>
      </c>
      <c r="D487" t="s">
        <v>14</v>
      </c>
      <c r="E487" t="s">
        <v>55</v>
      </c>
      <c r="F487" s="3">
        <v>1.1214015633186263</v>
      </c>
    </row>
    <row r="488" spans="1:6" x14ac:dyDescent="0.25">
      <c r="A488" t="s">
        <v>16</v>
      </c>
      <c r="B488">
        <v>2050</v>
      </c>
      <c r="C488" t="s">
        <v>19</v>
      </c>
      <c r="D488" t="s">
        <v>14</v>
      </c>
      <c r="E488" t="s">
        <v>54</v>
      </c>
      <c r="F488" s="3">
        <v>1.1948649232150734</v>
      </c>
    </row>
    <row r="489" spans="1:6" x14ac:dyDescent="0.25">
      <c r="A489" t="s">
        <v>16</v>
      </c>
      <c r="B489">
        <v>2050</v>
      </c>
      <c r="C489" t="s">
        <v>19</v>
      </c>
      <c r="D489" t="s">
        <v>14</v>
      </c>
      <c r="E489" t="s">
        <v>11</v>
      </c>
      <c r="F489" s="3">
        <v>1.0897337408738921</v>
      </c>
    </row>
    <row r="490" spans="1:6" x14ac:dyDescent="0.25">
      <c r="A490" t="s">
        <v>16</v>
      </c>
      <c r="B490">
        <v>2050</v>
      </c>
      <c r="C490" t="s">
        <v>19</v>
      </c>
      <c r="D490" t="s">
        <v>14</v>
      </c>
      <c r="E490" t="s">
        <v>20</v>
      </c>
      <c r="F490" s="3">
        <v>1.0996669175860081</v>
      </c>
    </row>
    <row r="491" spans="1:6" x14ac:dyDescent="0.25">
      <c r="A491" t="s">
        <v>16</v>
      </c>
      <c r="B491">
        <v>2050</v>
      </c>
      <c r="C491" t="s">
        <v>19</v>
      </c>
      <c r="D491" t="s">
        <v>14</v>
      </c>
      <c r="E491" t="s">
        <v>21</v>
      </c>
      <c r="F491" s="3">
        <v>1.0979510248473168</v>
      </c>
    </row>
    <row r="492" spans="1:6" x14ac:dyDescent="0.25">
      <c r="A492" t="s">
        <v>16</v>
      </c>
      <c r="B492">
        <v>2050</v>
      </c>
      <c r="C492" t="s">
        <v>19</v>
      </c>
      <c r="D492" t="s">
        <v>53</v>
      </c>
      <c r="E492" t="s">
        <v>55</v>
      </c>
      <c r="F492" s="3">
        <v>1.1214711527819601</v>
      </c>
    </row>
    <row r="493" spans="1:6" x14ac:dyDescent="0.25">
      <c r="A493" t="s">
        <v>16</v>
      </c>
      <c r="B493">
        <v>2050</v>
      </c>
      <c r="C493" t="s">
        <v>19</v>
      </c>
      <c r="D493" t="s">
        <v>53</v>
      </c>
      <c r="E493" t="s">
        <v>54</v>
      </c>
      <c r="F493" s="3">
        <v>1.1949452820168729</v>
      </c>
    </row>
    <row r="494" spans="1:6" x14ac:dyDescent="0.25">
      <c r="A494" t="s">
        <v>16</v>
      </c>
      <c r="B494">
        <v>2050</v>
      </c>
      <c r="C494" t="s">
        <v>19</v>
      </c>
      <c r="D494" t="s">
        <v>53</v>
      </c>
      <c r="E494" t="s">
        <v>11</v>
      </c>
      <c r="F494" s="3">
        <v>1.0897547987015856</v>
      </c>
    </row>
    <row r="495" spans="1:6" x14ac:dyDescent="0.25">
      <c r="A495" t="s">
        <v>16</v>
      </c>
      <c r="B495">
        <v>2050</v>
      </c>
      <c r="C495" t="s">
        <v>19</v>
      </c>
      <c r="D495" t="s">
        <v>53</v>
      </c>
      <c r="E495" t="s">
        <v>20</v>
      </c>
      <c r="F495" s="3">
        <v>1.0996902502534263</v>
      </c>
    </row>
    <row r="496" spans="1:6" x14ac:dyDescent="0.25">
      <c r="A496" t="s">
        <v>16</v>
      </c>
      <c r="B496">
        <v>2050</v>
      </c>
      <c r="C496" t="s">
        <v>19</v>
      </c>
      <c r="D496" t="s">
        <v>53</v>
      </c>
      <c r="E496" t="s">
        <v>21</v>
      </c>
      <c r="F496" s="3">
        <v>1.0979693439847511</v>
      </c>
    </row>
    <row r="497" spans="1:7" x14ac:dyDescent="0.25">
      <c r="A497" t="s">
        <v>68</v>
      </c>
      <c r="B497">
        <v>2023</v>
      </c>
      <c r="C497" t="s">
        <v>7</v>
      </c>
      <c r="D497" t="s">
        <v>8</v>
      </c>
      <c r="E497" t="s">
        <v>9</v>
      </c>
      <c r="F497" s="3">
        <v>0.99561618873797852</v>
      </c>
      <c r="G497" s="3"/>
    </row>
    <row r="498" spans="1:7" x14ac:dyDescent="0.25">
      <c r="A498" t="s">
        <v>68</v>
      </c>
      <c r="B498">
        <v>2023</v>
      </c>
      <c r="C498" t="s">
        <v>7</v>
      </c>
      <c r="D498" t="s">
        <v>8</v>
      </c>
      <c r="E498" t="s">
        <v>10</v>
      </c>
      <c r="F498" s="3">
        <v>0.99847351578614074</v>
      </c>
      <c r="G498" s="3"/>
    </row>
    <row r="499" spans="1:7" x14ac:dyDescent="0.25">
      <c r="A499" t="s">
        <v>68</v>
      </c>
      <c r="B499">
        <v>2023</v>
      </c>
      <c r="C499" t="s">
        <v>7</v>
      </c>
      <c r="D499" t="s">
        <v>8</v>
      </c>
      <c r="E499" t="s">
        <v>11</v>
      </c>
      <c r="F499" s="3">
        <v>0.99664001220596687</v>
      </c>
      <c r="G499" s="3"/>
    </row>
    <row r="500" spans="1:7" x14ac:dyDescent="0.25">
      <c r="A500" t="s">
        <v>68</v>
      </c>
      <c r="B500">
        <v>2023</v>
      </c>
      <c r="C500" t="s">
        <v>7</v>
      </c>
      <c r="D500" t="s">
        <v>12</v>
      </c>
      <c r="E500" t="s">
        <v>9</v>
      </c>
      <c r="F500" s="3">
        <v>0.99237698400015417</v>
      </c>
      <c r="G500" s="3"/>
    </row>
    <row r="501" spans="1:7" x14ac:dyDescent="0.25">
      <c r="A501" t="s">
        <v>68</v>
      </c>
      <c r="B501">
        <v>2023</v>
      </c>
      <c r="C501" t="s">
        <v>7</v>
      </c>
      <c r="D501" t="s">
        <v>12</v>
      </c>
      <c r="E501" t="s">
        <v>10</v>
      </c>
      <c r="F501" s="3">
        <v>0.99721715085658125</v>
      </c>
      <c r="G501" s="3"/>
    </row>
    <row r="502" spans="1:7" x14ac:dyDescent="0.25">
      <c r="A502" t="s">
        <v>68</v>
      </c>
      <c r="B502">
        <v>2023</v>
      </c>
      <c r="C502" t="s">
        <v>7</v>
      </c>
      <c r="D502" t="s">
        <v>12</v>
      </c>
      <c r="E502" t="s">
        <v>11</v>
      </c>
      <c r="F502" s="3">
        <v>0.99429652932388846</v>
      </c>
      <c r="G502" s="3"/>
    </row>
    <row r="503" spans="1:7" x14ac:dyDescent="0.25">
      <c r="A503" t="s">
        <v>68</v>
      </c>
      <c r="B503">
        <v>2023</v>
      </c>
      <c r="C503" t="s">
        <v>7</v>
      </c>
      <c r="D503" t="s">
        <v>13</v>
      </c>
      <c r="E503" t="s">
        <v>9</v>
      </c>
      <c r="F503" s="3">
        <v>0.99244764794284468</v>
      </c>
      <c r="G503" s="3"/>
    </row>
    <row r="504" spans="1:7" x14ac:dyDescent="0.25">
      <c r="A504" t="s">
        <v>68</v>
      </c>
      <c r="B504">
        <v>2023</v>
      </c>
      <c r="C504" t="s">
        <v>7</v>
      </c>
      <c r="D504" t="s">
        <v>13</v>
      </c>
      <c r="E504" t="s">
        <v>10</v>
      </c>
      <c r="F504" s="3">
        <v>0.99726383098018734</v>
      </c>
      <c r="G504" s="3"/>
    </row>
    <row r="505" spans="1:7" x14ac:dyDescent="0.25">
      <c r="A505" t="s">
        <v>68</v>
      </c>
      <c r="B505">
        <v>2023</v>
      </c>
      <c r="C505" t="s">
        <v>7</v>
      </c>
      <c r="D505" t="s">
        <v>13</v>
      </c>
      <c r="E505" t="s">
        <v>11</v>
      </c>
      <c r="F505" s="3">
        <v>0.99438587229137787</v>
      </c>
      <c r="G505" s="3"/>
    </row>
    <row r="506" spans="1:7" x14ac:dyDescent="0.25">
      <c r="A506" t="s">
        <v>68</v>
      </c>
      <c r="B506">
        <v>2023</v>
      </c>
      <c r="C506" t="s">
        <v>7</v>
      </c>
      <c r="D506" t="s">
        <v>14</v>
      </c>
      <c r="E506" t="s">
        <v>9</v>
      </c>
      <c r="F506" s="3">
        <v>0.99410068386659323</v>
      </c>
      <c r="G506" s="3"/>
    </row>
    <row r="507" spans="1:7" x14ac:dyDescent="0.25">
      <c r="A507" t="s">
        <v>68</v>
      </c>
      <c r="B507">
        <v>2023</v>
      </c>
      <c r="C507" t="s">
        <v>7</v>
      </c>
      <c r="D507" t="s">
        <v>14</v>
      </c>
      <c r="E507" t="s">
        <v>10</v>
      </c>
      <c r="F507" s="3">
        <v>0.99790503124308372</v>
      </c>
      <c r="G507" s="3"/>
    </row>
    <row r="508" spans="1:7" x14ac:dyDescent="0.25">
      <c r="A508" t="s">
        <v>68</v>
      </c>
      <c r="B508">
        <v>2023</v>
      </c>
      <c r="C508" t="s">
        <v>7</v>
      </c>
      <c r="D508" t="s">
        <v>14</v>
      </c>
      <c r="E508" t="s">
        <v>11</v>
      </c>
      <c r="F508" s="3">
        <v>0.99554010187147224</v>
      </c>
      <c r="G508" s="3"/>
    </row>
    <row r="509" spans="1:7" x14ac:dyDescent="0.25">
      <c r="A509" t="s">
        <v>68</v>
      </c>
      <c r="B509">
        <v>2023</v>
      </c>
      <c r="C509" t="s">
        <v>7</v>
      </c>
      <c r="D509" t="s">
        <v>53</v>
      </c>
      <c r="E509" t="s">
        <v>9</v>
      </c>
      <c r="F509" s="3">
        <v>0.99333875805292104</v>
      </c>
      <c r="G509" s="3"/>
    </row>
    <row r="510" spans="1:7" x14ac:dyDescent="0.25">
      <c r="A510" t="s">
        <v>68</v>
      </c>
      <c r="B510">
        <v>2023</v>
      </c>
      <c r="C510" t="s">
        <v>7</v>
      </c>
      <c r="D510" t="s">
        <v>53</v>
      </c>
      <c r="E510" t="s">
        <v>10</v>
      </c>
      <c r="F510" s="3">
        <v>0.99761338569038926</v>
      </c>
      <c r="G510" s="3"/>
    </row>
    <row r="511" spans="1:7" x14ac:dyDescent="0.25">
      <c r="A511" t="s">
        <v>68</v>
      </c>
      <c r="B511">
        <v>2023</v>
      </c>
      <c r="C511" t="s">
        <v>7</v>
      </c>
      <c r="D511" t="s">
        <v>53</v>
      </c>
      <c r="E511" t="s">
        <v>11</v>
      </c>
      <c r="F511" s="3">
        <v>0.9950046771066926</v>
      </c>
      <c r="G511" s="3"/>
    </row>
    <row r="512" spans="1:7" x14ac:dyDescent="0.25">
      <c r="A512" t="s">
        <v>68</v>
      </c>
      <c r="B512">
        <v>2034</v>
      </c>
      <c r="C512" t="s">
        <v>7</v>
      </c>
      <c r="D512" t="s">
        <v>8</v>
      </c>
      <c r="E512" t="s">
        <v>9</v>
      </c>
      <c r="F512" s="3">
        <v>0.98604011911818357</v>
      </c>
      <c r="G512" s="3"/>
    </row>
    <row r="513" spans="1:7" x14ac:dyDescent="0.25">
      <c r="A513" t="s">
        <v>68</v>
      </c>
      <c r="B513">
        <v>2034</v>
      </c>
      <c r="C513" t="s">
        <v>7</v>
      </c>
      <c r="D513" t="s">
        <v>8</v>
      </c>
      <c r="E513" t="s">
        <v>10</v>
      </c>
      <c r="F513" s="3">
        <v>1</v>
      </c>
      <c r="G513" s="3"/>
    </row>
    <row r="514" spans="1:7" x14ac:dyDescent="0.25">
      <c r="A514" t="s">
        <v>68</v>
      </c>
      <c r="B514">
        <v>2034</v>
      </c>
      <c r="C514" t="s">
        <v>7</v>
      </c>
      <c r="D514" t="s">
        <v>8</v>
      </c>
      <c r="E514" t="s">
        <v>11</v>
      </c>
      <c r="F514" s="3">
        <v>0.99519079367207275</v>
      </c>
      <c r="G514" s="3"/>
    </row>
    <row r="515" spans="1:7" x14ac:dyDescent="0.25">
      <c r="A515" t="s">
        <v>68</v>
      </c>
      <c r="B515">
        <v>2034</v>
      </c>
      <c r="C515" t="s">
        <v>7</v>
      </c>
      <c r="D515" t="s">
        <v>12</v>
      </c>
      <c r="E515" t="s">
        <v>9</v>
      </c>
      <c r="F515" s="3">
        <v>0.97527107752080444</v>
      </c>
      <c r="G515" s="3"/>
    </row>
    <row r="516" spans="1:7" x14ac:dyDescent="0.25">
      <c r="A516" t="s">
        <v>68</v>
      </c>
      <c r="B516">
        <v>2034</v>
      </c>
      <c r="C516" t="s">
        <v>7</v>
      </c>
      <c r="D516" t="s">
        <v>12</v>
      </c>
      <c r="E516" t="s">
        <v>10</v>
      </c>
      <c r="F516" s="3">
        <v>0.99593217703705106</v>
      </c>
      <c r="G516" s="3"/>
    </row>
    <row r="517" spans="1:7" x14ac:dyDescent="0.25">
      <c r="A517" t="s">
        <v>68</v>
      </c>
      <c r="B517">
        <v>2034</v>
      </c>
      <c r="C517" t="s">
        <v>7</v>
      </c>
      <c r="D517" t="s">
        <v>12</v>
      </c>
      <c r="E517" t="s">
        <v>11</v>
      </c>
      <c r="F517" s="3">
        <v>0.99177682115291255</v>
      </c>
      <c r="G517" s="3"/>
    </row>
    <row r="518" spans="1:7" x14ac:dyDescent="0.25">
      <c r="A518" t="s">
        <v>68</v>
      </c>
      <c r="B518">
        <v>2034</v>
      </c>
      <c r="C518" t="s">
        <v>7</v>
      </c>
      <c r="D518" t="s">
        <v>13</v>
      </c>
      <c r="E518" t="s">
        <v>9</v>
      </c>
      <c r="F518" s="3">
        <v>0.97551827715877826</v>
      </c>
      <c r="G518" s="3"/>
    </row>
    <row r="519" spans="1:7" x14ac:dyDescent="0.25">
      <c r="A519" t="s">
        <v>68</v>
      </c>
      <c r="B519">
        <v>2034</v>
      </c>
      <c r="C519" t="s">
        <v>7</v>
      </c>
      <c r="D519" t="s">
        <v>13</v>
      </c>
      <c r="E519" t="s">
        <v>10</v>
      </c>
      <c r="F519" s="3">
        <v>0.99597834687447984</v>
      </c>
      <c r="G519" s="3"/>
    </row>
    <row r="520" spans="1:7" x14ac:dyDescent="0.25">
      <c r="A520" t="s">
        <v>68</v>
      </c>
      <c r="B520">
        <v>2034</v>
      </c>
      <c r="C520" t="s">
        <v>7</v>
      </c>
      <c r="D520" t="s">
        <v>13</v>
      </c>
      <c r="E520" t="s">
        <v>11</v>
      </c>
      <c r="F520" s="3">
        <v>0.99187499919985789</v>
      </c>
      <c r="G520" s="3"/>
    </row>
    <row r="521" spans="1:7" x14ac:dyDescent="0.25">
      <c r="A521" t="s">
        <v>68</v>
      </c>
      <c r="B521">
        <v>2034</v>
      </c>
      <c r="C521" t="s">
        <v>7</v>
      </c>
      <c r="D521" t="s">
        <v>14</v>
      </c>
      <c r="E521" t="s">
        <v>9</v>
      </c>
      <c r="F521" s="3">
        <v>0.98105336179813252</v>
      </c>
      <c r="G521" s="3"/>
    </row>
    <row r="522" spans="1:7" x14ac:dyDescent="0.25">
      <c r="A522" t="s">
        <v>68</v>
      </c>
      <c r="B522">
        <v>2034</v>
      </c>
      <c r="C522" t="s">
        <v>7</v>
      </c>
      <c r="D522" t="s">
        <v>14</v>
      </c>
      <c r="E522" t="s">
        <v>10</v>
      </c>
      <c r="F522" s="3">
        <v>0.99690831017634429</v>
      </c>
      <c r="G522" s="3"/>
    </row>
    <row r="523" spans="1:7" x14ac:dyDescent="0.25">
      <c r="A523" t="s">
        <v>68</v>
      </c>
      <c r="B523">
        <v>2034</v>
      </c>
      <c r="C523" t="s">
        <v>7</v>
      </c>
      <c r="D523" t="s">
        <v>14</v>
      </c>
      <c r="E523" t="s">
        <v>11</v>
      </c>
      <c r="F523" s="3">
        <v>0.99358591758953152</v>
      </c>
      <c r="G523" s="3"/>
    </row>
    <row r="524" spans="1:7" x14ac:dyDescent="0.25">
      <c r="A524" t="s">
        <v>68</v>
      </c>
      <c r="B524">
        <v>2034</v>
      </c>
      <c r="C524" t="s">
        <v>7</v>
      </c>
      <c r="D524" t="s">
        <v>53</v>
      </c>
      <c r="E524" t="s">
        <v>9</v>
      </c>
      <c r="F524" s="3">
        <v>0.97851511626985355</v>
      </c>
      <c r="G524" s="3"/>
    </row>
    <row r="525" spans="1:7" x14ac:dyDescent="0.25">
      <c r="A525" t="s">
        <v>68</v>
      </c>
      <c r="B525">
        <v>2034</v>
      </c>
      <c r="C525" t="s">
        <v>7</v>
      </c>
      <c r="D525" t="s">
        <v>53</v>
      </c>
      <c r="E525" t="s">
        <v>11</v>
      </c>
      <c r="F525" s="3">
        <v>0.99358591758953152</v>
      </c>
      <c r="G525" s="3"/>
    </row>
    <row r="526" spans="1:7" x14ac:dyDescent="0.25">
      <c r="A526" t="s">
        <v>68</v>
      </c>
      <c r="B526">
        <v>2034</v>
      </c>
      <c r="C526" t="s">
        <v>7</v>
      </c>
      <c r="D526" t="s">
        <v>53</v>
      </c>
      <c r="E526" t="s">
        <v>10</v>
      </c>
      <c r="F526" s="3">
        <v>0.99648372878067337</v>
      </c>
      <c r="G526" s="3"/>
    </row>
    <row r="527" spans="1:7" x14ac:dyDescent="0.25">
      <c r="A527" t="s">
        <v>68</v>
      </c>
      <c r="B527">
        <v>2050</v>
      </c>
      <c r="C527" t="s">
        <v>7</v>
      </c>
      <c r="D527" t="s">
        <v>8</v>
      </c>
      <c r="E527" t="s">
        <v>9</v>
      </c>
      <c r="F527" s="3">
        <v>0.98655885796921616</v>
      </c>
      <c r="G527" s="3"/>
    </row>
    <row r="528" spans="1:7" x14ac:dyDescent="0.25">
      <c r="A528" t="s">
        <v>68</v>
      </c>
      <c r="B528">
        <v>2050</v>
      </c>
      <c r="C528" t="s">
        <v>7</v>
      </c>
      <c r="D528" t="s">
        <v>8</v>
      </c>
      <c r="E528" t="s">
        <v>10</v>
      </c>
      <c r="F528" s="3">
        <v>1</v>
      </c>
      <c r="G528" s="3"/>
    </row>
    <row r="529" spans="1:7" x14ac:dyDescent="0.25">
      <c r="A529" t="s">
        <v>68</v>
      </c>
      <c r="B529">
        <v>2050</v>
      </c>
      <c r="C529" t="s">
        <v>7</v>
      </c>
      <c r="D529" t="s">
        <v>8</v>
      </c>
      <c r="E529" t="s">
        <v>11</v>
      </c>
      <c r="F529" s="3">
        <v>0.9943337676691506</v>
      </c>
      <c r="G529" s="3"/>
    </row>
    <row r="530" spans="1:7" x14ac:dyDescent="0.25">
      <c r="A530" t="s">
        <v>68</v>
      </c>
      <c r="B530">
        <v>2050</v>
      </c>
      <c r="C530" t="s">
        <v>7</v>
      </c>
      <c r="D530" t="s">
        <v>12</v>
      </c>
      <c r="E530" t="s">
        <v>9</v>
      </c>
      <c r="F530" s="3">
        <v>0.97587322079901728</v>
      </c>
      <c r="G530" s="3"/>
    </row>
    <row r="531" spans="1:7" x14ac:dyDescent="0.25">
      <c r="A531" t="s">
        <v>68</v>
      </c>
      <c r="B531">
        <v>2050</v>
      </c>
      <c r="C531" t="s">
        <v>7</v>
      </c>
      <c r="D531" t="s">
        <v>12</v>
      </c>
      <c r="E531" t="s">
        <v>10</v>
      </c>
      <c r="F531" s="3">
        <v>0.99489613961588996</v>
      </c>
      <c r="G531" s="3"/>
    </row>
    <row r="532" spans="1:7" x14ac:dyDescent="0.25">
      <c r="A532" t="s">
        <v>68</v>
      </c>
      <c r="B532">
        <v>2050</v>
      </c>
      <c r="C532" t="s">
        <v>7</v>
      </c>
      <c r="D532" t="s">
        <v>12</v>
      </c>
      <c r="E532" t="s">
        <v>11</v>
      </c>
      <c r="F532" s="3">
        <v>0.99010632987058378</v>
      </c>
      <c r="G532" s="3"/>
    </row>
    <row r="533" spans="1:7" x14ac:dyDescent="0.25">
      <c r="A533" t="s">
        <v>68</v>
      </c>
      <c r="B533">
        <v>2050</v>
      </c>
      <c r="C533" t="s">
        <v>7</v>
      </c>
      <c r="D533" t="s">
        <v>13</v>
      </c>
      <c r="E533" t="s">
        <v>9</v>
      </c>
      <c r="F533" s="3">
        <v>0.97613188043892718</v>
      </c>
      <c r="G533" s="3"/>
    </row>
    <row r="534" spans="1:7" x14ac:dyDescent="0.25">
      <c r="A534" t="s">
        <v>68</v>
      </c>
      <c r="B534">
        <v>2050</v>
      </c>
      <c r="C534" t="s">
        <v>7</v>
      </c>
      <c r="D534" t="s">
        <v>13</v>
      </c>
      <c r="E534" t="s">
        <v>10</v>
      </c>
      <c r="F534" s="3">
        <v>0.9949452669192933</v>
      </c>
      <c r="G534" s="3"/>
    </row>
    <row r="535" spans="1:7" x14ac:dyDescent="0.25">
      <c r="A535" t="s">
        <v>68</v>
      </c>
      <c r="B535">
        <v>2050</v>
      </c>
      <c r="C535" t="s">
        <v>7</v>
      </c>
      <c r="D535" t="s">
        <v>13</v>
      </c>
      <c r="E535" t="s">
        <v>11</v>
      </c>
      <c r="F535" s="3">
        <v>0.99020705614504823</v>
      </c>
      <c r="G535" s="3"/>
    </row>
    <row r="536" spans="1:7" x14ac:dyDescent="0.25">
      <c r="A536" t="s">
        <v>68</v>
      </c>
      <c r="B536">
        <v>2050</v>
      </c>
      <c r="C536" t="s">
        <v>7</v>
      </c>
      <c r="D536" t="s">
        <v>14</v>
      </c>
      <c r="E536" t="s">
        <v>9</v>
      </c>
      <c r="F536" s="3">
        <v>0.98164837067467214</v>
      </c>
      <c r="G536" s="3"/>
    </row>
    <row r="537" spans="1:7" x14ac:dyDescent="0.25">
      <c r="A537" t="s">
        <v>68</v>
      </c>
      <c r="B537">
        <v>2050</v>
      </c>
      <c r="C537" t="s">
        <v>7</v>
      </c>
      <c r="D537" t="s">
        <v>14</v>
      </c>
      <c r="E537" t="s">
        <v>10</v>
      </c>
      <c r="F537" s="3">
        <v>0.99611997207848901</v>
      </c>
      <c r="G537" s="3"/>
    </row>
    <row r="538" spans="1:7" x14ac:dyDescent="0.25">
      <c r="A538" t="s">
        <v>68</v>
      </c>
      <c r="B538">
        <v>2050</v>
      </c>
      <c r="C538" t="s">
        <v>7</v>
      </c>
      <c r="D538" t="s">
        <v>14</v>
      </c>
      <c r="E538" t="s">
        <v>11</v>
      </c>
      <c r="F538" s="3">
        <v>0.99236243542580671</v>
      </c>
      <c r="G538" s="3"/>
    </row>
    <row r="539" spans="1:7" x14ac:dyDescent="0.25">
      <c r="A539" t="s">
        <v>68</v>
      </c>
      <c r="B539">
        <v>2050</v>
      </c>
      <c r="C539" t="s">
        <v>7</v>
      </c>
      <c r="D539" t="s">
        <v>53</v>
      </c>
      <c r="E539" t="s">
        <v>9</v>
      </c>
      <c r="F539" s="3">
        <v>0.97912791533649657</v>
      </c>
      <c r="G539" s="3"/>
    </row>
    <row r="540" spans="1:7" x14ac:dyDescent="0.25">
      <c r="A540" t="s">
        <v>68</v>
      </c>
      <c r="B540">
        <v>2050</v>
      </c>
      <c r="C540" t="s">
        <v>7</v>
      </c>
      <c r="D540" t="s">
        <v>53</v>
      </c>
      <c r="E540" t="s">
        <v>10</v>
      </c>
      <c r="F540" s="3">
        <v>0.99558372470042977</v>
      </c>
      <c r="G540" s="3"/>
    </row>
    <row r="541" spans="1:7" x14ac:dyDescent="0.25">
      <c r="A541" t="s">
        <v>68</v>
      </c>
      <c r="B541">
        <v>2050</v>
      </c>
      <c r="C541" t="s">
        <v>7</v>
      </c>
      <c r="D541" t="s">
        <v>53</v>
      </c>
      <c r="E541" t="s">
        <v>11</v>
      </c>
      <c r="F541" s="3">
        <v>0.99137019138759253</v>
      </c>
      <c r="G541" s="3"/>
    </row>
    <row r="542" spans="1:7" x14ac:dyDescent="0.25">
      <c r="A542" t="s">
        <v>68</v>
      </c>
      <c r="B542">
        <v>2023</v>
      </c>
      <c r="C542" t="s">
        <v>17</v>
      </c>
      <c r="D542" t="s">
        <v>8</v>
      </c>
      <c r="E542" t="s">
        <v>9</v>
      </c>
      <c r="F542" s="3">
        <v>0.98780161016943502</v>
      </c>
      <c r="G542" s="3"/>
    </row>
    <row r="543" spans="1:7" x14ac:dyDescent="0.25">
      <c r="A543" t="s">
        <v>68</v>
      </c>
      <c r="B543">
        <v>2023</v>
      </c>
      <c r="C543" t="s">
        <v>17</v>
      </c>
      <c r="D543" t="s">
        <v>8</v>
      </c>
      <c r="E543" t="s">
        <v>18</v>
      </c>
      <c r="F543" s="3">
        <v>0.99479904833381128</v>
      </c>
      <c r="G543" s="3"/>
    </row>
    <row r="544" spans="1:7" x14ac:dyDescent="0.25">
      <c r="A544" t="s">
        <v>68</v>
      </c>
      <c r="B544">
        <v>2023</v>
      </c>
      <c r="C544" t="s">
        <v>17</v>
      </c>
      <c r="D544" t="s">
        <v>8</v>
      </c>
      <c r="E544" t="s">
        <v>10</v>
      </c>
      <c r="F544" s="3">
        <v>0.99593601772632634</v>
      </c>
      <c r="G544" s="3"/>
    </row>
    <row r="545" spans="1:7" x14ac:dyDescent="0.25">
      <c r="A545" t="s">
        <v>68</v>
      </c>
      <c r="B545">
        <v>2023</v>
      </c>
      <c r="C545" t="s">
        <v>17</v>
      </c>
      <c r="D545" t="s">
        <v>8</v>
      </c>
      <c r="E545" t="s">
        <v>11</v>
      </c>
      <c r="F545" s="3">
        <v>0.99277809276624018</v>
      </c>
      <c r="G545" s="3"/>
    </row>
    <row r="546" spans="1:7" x14ac:dyDescent="0.25">
      <c r="A546" t="s">
        <v>68</v>
      </c>
      <c r="B546">
        <v>2023</v>
      </c>
      <c r="C546" t="s">
        <v>17</v>
      </c>
      <c r="D546" t="s">
        <v>12</v>
      </c>
      <c r="E546" t="s">
        <v>9</v>
      </c>
      <c r="F546" s="3">
        <v>0.98789272348967083</v>
      </c>
      <c r="G546" s="3"/>
    </row>
    <row r="547" spans="1:7" x14ac:dyDescent="0.25">
      <c r="A547" t="s">
        <v>68</v>
      </c>
      <c r="B547">
        <v>2023</v>
      </c>
      <c r="C547" t="s">
        <v>17</v>
      </c>
      <c r="D547" t="s">
        <v>12</v>
      </c>
      <c r="E547" t="s">
        <v>18</v>
      </c>
      <c r="F547" s="3">
        <v>0.99484675735215877</v>
      </c>
      <c r="G547" s="3"/>
    </row>
    <row r="548" spans="1:7" x14ac:dyDescent="0.25">
      <c r="A548" t="s">
        <v>68</v>
      </c>
      <c r="B548">
        <v>2023</v>
      </c>
      <c r="C548" t="s">
        <v>17</v>
      </c>
      <c r="D548" t="s">
        <v>12</v>
      </c>
      <c r="E548" t="s">
        <v>10</v>
      </c>
      <c r="F548" s="3">
        <v>0.99596333024316963</v>
      </c>
      <c r="G548" s="3"/>
    </row>
    <row r="549" spans="1:7" x14ac:dyDescent="0.25">
      <c r="A549" t="s">
        <v>68</v>
      </c>
      <c r="B549">
        <v>2023</v>
      </c>
      <c r="C549" t="s">
        <v>17</v>
      </c>
      <c r="D549" t="s">
        <v>12</v>
      </c>
      <c r="E549" t="s">
        <v>11</v>
      </c>
      <c r="F549" s="3">
        <v>0.99281651943308524</v>
      </c>
      <c r="G549" s="3"/>
    </row>
    <row r="550" spans="1:7" x14ac:dyDescent="0.25">
      <c r="A550" t="s">
        <v>68</v>
      </c>
      <c r="B550">
        <v>2023</v>
      </c>
      <c r="C550" t="s">
        <v>17</v>
      </c>
      <c r="D550" t="s">
        <v>13</v>
      </c>
      <c r="E550" t="s">
        <v>9</v>
      </c>
      <c r="F550" s="3">
        <v>0.98718234787732539</v>
      </c>
      <c r="G550" s="3"/>
    </row>
    <row r="551" spans="1:7" x14ac:dyDescent="0.25">
      <c r="A551" t="s">
        <v>68</v>
      </c>
      <c r="B551">
        <v>2023</v>
      </c>
      <c r="C551" t="s">
        <v>17</v>
      </c>
      <c r="D551" t="s">
        <v>13</v>
      </c>
      <c r="E551" t="s">
        <v>18</v>
      </c>
      <c r="F551" s="3">
        <v>0.9944703896100433</v>
      </c>
      <c r="G551" s="3"/>
    </row>
    <row r="552" spans="1:7" x14ac:dyDescent="0.25">
      <c r="A552" t="s">
        <v>68</v>
      </c>
      <c r="B552">
        <v>2023</v>
      </c>
      <c r="C552" t="s">
        <v>17</v>
      </c>
      <c r="D552" t="s">
        <v>13</v>
      </c>
      <c r="E552" t="s">
        <v>10</v>
      </c>
      <c r="F552" s="3">
        <v>0.99574992811176322</v>
      </c>
      <c r="G552" s="3"/>
    </row>
    <row r="553" spans="1:7" x14ac:dyDescent="0.25">
      <c r="A553" t="s">
        <v>68</v>
      </c>
      <c r="B553">
        <v>2023</v>
      </c>
      <c r="C553" t="s">
        <v>17</v>
      </c>
      <c r="D553" t="s">
        <v>13</v>
      </c>
      <c r="E553" t="s">
        <v>11</v>
      </c>
      <c r="F553" s="3">
        <v>0.99252019112196832</v>
      </c>
      <c r="G553" s="3"/>
    </row>
    <row r="554" spans="1:7" x14ac:dyDescent="0.25">
      <c r="A554" t="s">
        <v>68</v>
      </c>
      <c r="B554">
        <v>2023</v>
      </c>
      <c r="C554" t="s">
        <v>17</v>
      </c>
      <c r="D554" t="s">
        <v>14</v>
      </c>
      <c r="E554" t="s">
        <v>9</v>
      </c>
      <c r="F554" s="3">
        <v>0.99153517991689588</v>
      </c>
      <c r="G554" s="3"/>
    </row>
    <row r="555" spans="1:7" x14ac:dyDescent="0.25">
      <c r="A555" t="s">
        <v>68</v>
      </c>
      <c r="B555">
        <v>2023</v>
      </c>
      <c r="C555" t="s">
        <v>17</v>
      </c>
      <c r="D555" t="s">
        <v>14</v>
      </c>
      <c r="E555" t="s">
        <v>18</v>
      </c>
      <c r="F555" s="3">
        <v>0.9966284815339983</v>
      </c>
      <c r="G555" s="3"/>
    </row>
    <row r="556" spans="1:7" x14ac:dyDescent="0.25">
      <c r="A556" t="s">
        <v>68</v>
      </c>
      <c r="B556">
        <v>2023</v>
      </c>
      <c r="C556" t="s">
        <v>17</v>
      </c>
      <c r="D556" t="s">
        <v>14</v>
      </c>
      <c r="E556" t="s">
        <v>10</v>
      </c>
      <c r="F556" s="3">
        <v>0.99709524897555768</v>
      </c>
      <c r="G556" s="3"/>
    </row>
    <row r="557" spans="1:7" x14ac:dyDescent="0.25">
      <c r="A557" t="s">
        <v>68</v>
      </c>
      <c r="B557">
        <v>2023</v>
      </c>
      <c r="C557" t="s">
        <v>17</v>
      </c>
      <c r="D557" t="s">
        <v>14</v>
      </c>
      <c r="E557" t="s">
        <v>11</v>
      </c>
      <c r="F557" s="3">
        <v>0.99450605737508191</v>
      </c>
      <c r="G557" s="3"/>
    </row>
    <row r="558" spans="1:7" x14ac:dyDescent="0.25">
      <c r="A558" t="s">
        <v>68</v>
      </c>
      <c r="B558">
        <v>2023</v>
      </c>
      <c r="C558" t="s">
        <v>17</v>
      </c>
      <c r="D558" t="s">
        <v>53</v>
      </c>
      <c r="E558" t="s">
        <v>9</v>
      </c>
      <c r="F558" s="3">
        <v>0.98766524869880601</v>
      </c>
      <c r="G558" s="3"/>
    </row>
    <row r="559" spans="1:7" x14ac:dyDescent="0.25">
      <c r="A559" t="s">
        <v>68</v>
      </c>
      <c r="B559">
        <v>2023</v>
      </c>
      <c r="C559" t="s">
        <v>17</v>
      </c>
      <c r="D559" t="s">
        <v>53</v>
      </c>
      <c r="E559" t="s">
        <v>18</v>
      </c>
      <c r="F559" s="3">
        <v>0.9947273390138478</v>
      </c>
      <c r="G559" s="3"/>
    </row>
    <row r="560" spans="1:7" x14ac:dyDescent="0.25">
      <c r="A560" t="s">
        <v>68</v>
      </c>
      <c r="B560">
        <v>2023</v>
      </c>
      <c r="C560" t="s">
        <v>17</v>
      </c>
      <c r="D560" t="s">
        <v>53</v>
      </c>
      <c r="E560" t="s">
        <v>10</v>
      </c>
      <c r="F560" s="3">
        <v>0.99589460489737336</v>
      </c>
      <c r="G560" s="3"/>
    </row>
    <row r="561" spans="1:7" x14ac:dyDescent="0.25">
      <c r="A561" t="s">
        <v>68</v>
      </c>
      <c r="B561">
        <v>2023</v>
      </c>
      <c r="C561" t="s">
        <v>17</v>
      </c>
      <c r="D561" t="s">
        <v>53</v>
      </c>
      <c r="E561" t="s">
        <v>11</v>
      </c>
      <c r="F561" s="3">
        <v>0.99272046301163441</v>
      </c>
      <c r="G561" s="3"/>
    </row>
    <row r="562" spans="1:7" x14ac:dyDescent="0.25">
      <c r="A562" t="s">
        <v>68</v>
      </c>
      <c r="B562">
        <v>2034</v>
      </c>
      <c r="C562" t="s">
        <v>17</v>
      </c>
      <c r="D562" t="s">
        <v>8</v>
      </c>
      <c r="E562" t="s">
        <v>9</v>
      </c>
      <c r="F562" s="3">
        <v>0.95655940678400497</v>
      </c>
      <c r="G562" s="3"/>
    </row>
    <row r="563" spans="1:7" x14ac:dyDescent="0.25">
      <c r="A563" t="s">
        <v>68</v>
      </c>
      <c r="B563">
        <v>2034</v>
      </c>
      <c r="C563" t="s">
        <v>17</v>
      </c>
      <c r="D563" t="s">
        <v>8</v>
      </c>
      <c r="E563" t="s">
        <v>18</v>
      </c>
      <c r="F563" s="3">
        <v>0.99238724755101893</v>
      </c>
      <c r="G563" s="3"/>
    </row>
    <row r="564" spans="1:7" x14ac:dyDescent="0.25">
      <c r="A564" t="s">
        <v>68</v>
      </c>
      <c r="B564">
        <v>2034</v>
      </c>
      <c r="C564" t="s">
        <v>17</v>
      </c>
      <c r="D564" t="s">
        <v>8</v>
      </c>
      <c r="E564" t="s">
        <v>10</v>
      </c>
      <c r="F564" s="3">
        <v>0.99348138049545565</v>
      </c>
      <c r="G564" s="3"/>
    </row>
    <row r="565" spans="1:7" x14ac:dyDescent="0.25">
      <c r="A565" t="s">
        <v>68</v>
      </c>
      <c r="B565">
        <v>2034</v>
      </c>
      <c r="C565" t="s">
        <v>17</v>
      </c>
      <c r="D565" t="s">
        <v>8</v>
      </c>
      <c r="E565" t="s">
        <v>11</v>
      </c>
      <c r="F565" s="3">
        <v>0.98840125816179103</v>
      </c>
      <c r="G565" s="3"/>
    </row>
    <row r="566" spans="1:7" x14ac:dyDescent="0.25">
      <c r="A566" t="s">
        <v>68</v>
      </c>
      <c r="B566">
        <v>2034</v>
      </c>
      <c r="C566" t="s">
        <v>17</v>
      </c>
      <c r="D566" t="s">
        <v>12</v>
      </c>
      <c r="E566" t="s">
        <v>9</v>
      </c>
      <c r="F566" s="3">
        <v>0.95689955176769648</v>
      </c>
      <c r="G566" s="3"/>
    </row>
    <row r="567" spans="1:7" x14ac:dyDescent="0.25">
      <c r="A567" t="s">
        <v>68</v>
      </c>
      <c r="B567">
        <v>2034</v>
      </c>
      <c r="C567" t="s">
        <v>17</v>
      </c>
      <c r="D567" t="s">
        <v>12</v>
      </c>
      <c r="E567" t="s">
        <v>18</v>
      </c>
      <c r="F567" s="3">
        <v>0.99245606360660843</v>
      </c>
      <c r="G567" s="3"/>
    </row>
    <row r="568" spans="1:7" x14ac:dyDescent="0.25">
      <c r="A568" t="s">
        <v>68</v>
      </c>
      <c r="B568">
        <v>2034</v>
      </c>
      <c r="C568" t="s">
        <v>17</v>
      </c>
      <c r="D568" t="s">
        <v>12</v>
      </c>
      <c r="E568" t="s">
        <v>10</v>
      </c>
      <c r="F568" s="3">
        <v>0.99352872086946298</v>
      </c>
      <c r="G568" s="3"/>
    </row>
    <row r="569" spans="1:7" x14ac:dyDescent="0.25">
      <c r="A569" t="s">
        <v>68</v>
      </c>
      <c r="B569">
        <v>2034</v>
      </c>
      <c r="C569" t="s">
        <v>17</v>
      </c>
      <c r="D569" t="s">
        <v>12</v>
      </c>
      <c r="E569" t="s">
        <v>11</v>
      </c>
      <c r="F569" s="3">
        <v>0.9884752739142908</v>
      </c>
      <c r="G569" s="3"/>
    </row>
    <row r="570" spans="1:7" x14ac:dyDescent="0.25">
      <c r="A570" t="s">
        <v>68</v>
      </c>
      <c r="B570">
        <v>2034</v>
      </c>
      <c r="C570" t="s">
        <v>17</v>
      </c>
      <c r="D570" t="s">
        <v>13</v>
      </c>
      <c r="E570" t="s">
        <v>9</v>
      </c>
      <c r="F570" s="3">
        <v>0.95424100048632376</v>
      </c>
      <c r="G570" s="3"/>
    </row>
    <row r="571" spans="1:7" x14ac:dyDescent="0.25">
      <c r="A571" t="s">
        <v>68</v>
      </c>
      <c r="B571">
        <v>2034</v>
      </c>
      <c r="C571" t="s">
        <v>17</v>
      </c>
      <c r="D571" t="s">
        <v>13</v>
      </c>
      <c r="E571" t="s">
        <v>18</v>
      </c>
      <c r="F571" s="3">
        <v>0.99191368985832784</v>
      </c>
      <c r="G571" s="3"/>
    </row>
    <row r="572" spans="1:7" x14ac:dyDescent="0.25">
      <c r="A572" t="s">
        <v>68</v>
      </c>
      <c r="B572">
        <v>2034</v>
      </c>
      <c r="C572" t="s">
        <v>17</v>
      </c>
      <c r="D572" t="s">
        <v>13</v>
      </c>
      <c r="E572" t="s">
        <v>10</v>
      </c>
      <c r="F572" s="3">
        <v>0.99315803671404601</v>
      </c>
      <c r="G572" s="3"/>
    </row>
    <row r="573" spans="1:7" x14ac:dyDescent="0.25">
      <c r="A573" t="s">
        <v>68</v>
      </c>
      <c r="B573">
        <v>2034</v>
      </c>
      <c r="C573" t="s">
        <v>17</v>
      </c>
      <c r="D573" t="s">
        <v>13</v>
      </c>
      <c r="E573" t="s">
        <v>11</v>
      </c>
      <c r="F573" s="3">
        <v>0.98790038120664259</v>
      </c>
      <c r="G573" s="3"/>
    </row>
    <row r="574" spans="1:7" x14ac:dyDescent="0.25">
      <c r="A574" t="s">
        <v>68</v>
      </c>
      <c r="B574">
        <v>2034</v>
      </c>
      <c r="C574" t="s">
        <v>17</v>
      </c>
      <c r="D574" t="s">
        <v>14</v>
      </c>
      <c r="E574" t="s">
        <v>9</v>
      </c>
      <c r="F574" s="3">
        <v>0.97029793160964706</v>
      </c>
      <c r="G574" s="3"/>
    </row>
    <row r="575" spans="1:7" x14ac:dyDescent="0.25">
      <c r="A575" t="s">
        <v>68</v>
      </c>
      <c r="B575">
        <v>2034</v>
      </c>
      <c r="C575" t="s">
        <v>17</v>
      </c>
      <c r="D575" t="s">
        <v>14</v>
      </c>
      <c r="E575" t="s">
        <v>18</v>
      </c>
      <c r="F575" s="3">
        <v>0.99503939446088818</v>
      </c>
      <c r="G575" s="3"/>
    </row>
    <row r="576" spans="1:7" x14ac:dyDescent="0.25">
      <c r="A576" t="s">
        <v>68</v>
      </c>
      <c r="B576">
        <v>2034</v>
      </c>
      <c r="C576" t="s">
        <v>17</v>
      </c>
      <c r="D576" t="s">
        <v>14</v>
      </c>
      <c r="E576" t="s">
        <v>10</v>
      </c>
      <c r="F576" s="3">
        <v>0.99544437626357007</v>
      </c>
      <c r="G576" s="3"/>
    </row>
    <row r="577" spans="1:7" x14ac:dyDescent="0.25">
      <c r="A577" t="s">
        <v>68</v>
      </c>
      <c r="B577">
        <v>2034</v>
      </c>
      <c r="C577" t="s">
        <v>17</v>
      </c>
      <c r="D577" t="s">
        <v>14</v>
      </c>
      <c r="E577" t="s">
        <v>11</v>
      </c>
      <c r="F577" s="3">
        <v>0.99158054895624836</v>
      </c>
      <c r="G577" s="3"/>
    </row>
    <row r="578" spans="1:7" x14ac:dyDescent="0.25">
      <c r="A578" t="s">
        <v>68</v>
      </c>
      <c r="B578">
        <v>2034</v>
      </c>
      <c r="C578" t="s">
        <v>17</v>
      </c>
      <c r="D578" t="s">
        <v>53</v>
      </c>
      <c r="E578" t="s">
        <v>9</v>
      </c>
      <c r="F578" s="3">
        <v>0.95604987857819101</v>
      </c>
      <c r="G578" s="3"/>
    </row>
    <row r="579" spans="1:7" x14ac:dyDescent="0.25">
      <c r="A579" t="s">
        <v>68</v>
      </c>
      <c r="B579">
        <v>2034</v>
      </c>
      <c r="C579" t="s">
        <v>17</v>
      </c>
      <c r="D579" t="s">
        <v>53</v>
      </c>
      <c r="E579" t="s">
        <v>18</v>
      </c>
      <c r="F579" s="3">
        <v>0.99228384806122039</v>
      </c>
      <c r="G579" s="3"/>
    </row>
    <row r="580" spans="1:7" x14ac:dyDescent="0.25">
      <c r="A580" t="s">
        <v>68</v>
      </c>
      <c r="B580">
        <v>2034</v>
      </c>
      <c r="C580" t="s">
        <v>17</v>
      </c>
      <c r="D580" t="s">
        <v>53</v>
      </c>
      <c r="E580" t="s">
        <v>10</v>
      </c>
      <c r="F580" s="3">
        <v>0.99340973278366596</v>
      </c>
      <c r="G580" s="3"/>
    </row>
    <row r="581" spans="1:7" x14ac:dyDescent="0.25">
      <c r="A581" t="s">
        <v>68</v>
      </c>
      <c r="B581">
        <v>2034</v>
      </c>
      <c r="C581" t="s">
        <v>17</v>
      </c>
      <c r="D581" t="s">
        <v>53</v>
      </c>
      <c r="E581" t="s">
        <v>11</v>
      </c>
      <c r="F581" s="3">
        <v>0.98828995763175675</v>
      </c>
      <c r="G581" s="3"/>
    </row>
    <row r="582" spans="1:7" x14ac:dyDescent="0.25">
      <c r="A582" t="s">
        <v>68</v>
      </c>
      <c r="B582">
        <v>2050</v>
      </c>
      <c r="C582" t="s">
        <v>17</v>
      </c>
      <c r="D582" t="s">
        <v>8</v>
      </c>
      <c r="E582" t="s">
        <v>9</v>
      </c>
      <c r="F582" s="3">
        <v>0.95215523366640809</v>
      </c>
      <c r="G582" s="3"/>
    </row>
    <row r="583" spans="1:7" x14ac:dyDescent="0.25">
      <c r="A583" t="s">
        <v>68</v>
      </c>
      <c r="B583">
        <v>2050</v>
      </c>
      <c r="C583" t="s">
        <v>17</v>
      </c>
      <c r="D583" t="s">
        <v>8</v>
      </c>
      <c r="E583" t="s">
        <v>18</v>
      </c>
      <c r="F583" s="3">
        <v>0.99033324424338831</v>
      </c>
      <c r="G583" s="3"/>
    </row>
    <row r="584" spans="1:7" x14ac:dyDescent="0.25">
      <c r="A584" t="s">
        <v>68</v>
      </c>
      <c r="B584">
        <v>2050</v>
      </c>
      <c r="C584" t="s">
        <v>17</v>
      </c>
      <c r="D584" t="s">
        <v>8</v>
      </c>
      <c r="E584" t="s">
        <v>10</v>
      </c>
      <c r="F584" s="3">
        <v>0.99059009326142178</v>
      </c>
      <c r="G584" s="3"/>
    </row>
    <row r="585" spans="1:7" x14ac:dyDescent="0.25">
      <c r="A585" t="s">
        <v>68</v>
      </c>
      <c r="B585">
        <v>2050</v>
      </c>
      <c r="C585" t="s">
        <v>17</v>
      </c>
      <c r="D585" t="s">
        <v>8</v>
      </c>
      <c r="E585" t="s">
        <v>11</v>
      </c>
      <c r="F585" s="3">
        <v>0.98338526235352686</v>
      </c>
      <c r="G585" s="3"/>
    </row>
    <row r="586" spans="1:7" x14ac:dyDescent="0.25">
      <c r="A586" t="s">
        <v>68</v>
      </c>
      <c r="B586">
        <v>2050</v>
      </c>
      <c r="C586" t="s">
        <v>17</v>
      </c>
      <c r="D586" t="s">
        <v>12</v>
      </c>
      <c r="E586" t="s">
        <v>9</v>
      </c>
      <c r="F586" s="3">
        <v>0.95253947411116291</v>
      </c>
      <c r="G586" s="3"/>
    </row>
    <row r="587" spans="1:7" x14ac:dyDescent="0.25">
      <c r="A587" t="s">
        <v>68</v>
      </c>
      <c r="B587">
        <v>2050</v>
      </c>
      <c r="C587" t="s">
        <v>17</v>
      </c>
      <c r="D587" t="s">
        <v>12</v>
      </c>
      <c r="E587" t="s">
        <v>18</v>
      </c>
      <c r="F587" s="3">
        <v>0.99042234332064827</v>
      </c>
      <c r="G587" s="3"/>
    </row>
    <row r="588" spans="1:7" x14ac:dyDescent="0.25">
      <c r="A588" t="s">
        <v>68</v>
      </c>
      <c r="B588">
        <v>2050</v>
      </c>
      <c r="C588" t="s">
        <v>17</v>
      </c>
      <c r="D588" t="s">
        <v>12</v>
      </c>
      <c r="E588" t="s">
        <v>10</v>
      </c>
      <c r="F588" s="3">
        <v>0.99066936729860577</v>
      </c>
      <c r="G588" s="3"/>
    </row>
    <row r="589" spans="1:7" x14ac:dyDescent="0.25">
      <c r="A589" t="s">
        <v>68</v>
      </c>
      <c r="B589">
        <v>2050</v>
      </c>
      <c r="C589" t="s">
        <v>17</v>
      </c>
      <c r="D589" t="s">
        <v>12</v>
      </c>
      <c r="E589" t="s">
        <v>11</v>
      </c>
      <c r="F589" s="3">
        <v>0.98353014148338158</v>
      </c>
      <c r="G589" s="3"/>
    </row>
    <row r="590" spans="1:7" x14ac:dyDescent="0.25">
      <c r="A590" t="s">
        <v>68</v>
      </c>
      <c r="B590">
        <v>2050</v>
      </c>
      <c r="C590" t="s">
        <v>17</v>
      </c>
      <c r="D590" t="s">
        <v>13</v>
      </c>
      <c r="E590" t="s">
        <v>9</v>
      </c>
      <c r="F590" s="3">
        <v>0.94953212493468575</v>
      </c>
      <c r="G590" s="3"/>
    </row>
    <row r="591" spans="1:7" x14ac:dyDescent="0.25">
      <c r="A591" t="s">
        <v>68</v>
      </c>
      <c r="B591">
        <v>2050</v>
      </c>
      <c r="C591" t="s">
        <v>17</v>
      </c>
      <c r="D591" t="s">
        <v>13</v>
      </c>
      <c r="E591" t="s">
        <v>18</v>
      </c>
      <c r="F591" s="3">
        <v>0.98971924220575336</v>
      </c>
      <c r="G591" s="3"/>
    </row>
    <row r="592" spans="1:7" x14ac:dyDescent="0.25">
      <c r="A592" t="s">
        <v>68</v>
      </c>
      <c r="B592">
        <v>2050</v>
      </c>
      <c r="C592" t="s">
        <v>17</v>
      </c>
      <c r="D592" t="s">
        <v>13</v>
      </c>
      <c r="E592" t="s">
        <v>10</v>
      </c>
      <c r="F592" s="3">
        <v>0.99004492029495128</v>
      </c>
      <c r="G592" s="3"/>
    </row>
    <row r="593" spans="1:7" x14ac:dyDescent="0.25">
      <c r="A593" t="s">
        <v>68</v>
      </c>
      <c r="B593">
        <v>2050</v>
      </c>
      <c r="C593" t="s">
        <v>17</v>
      </c>
      <c r="D593" t="s">
        <v>13</v>
      </c>
      <c r="E593" t="s">
        <v>11</v>
      </c>
      <c r="F593" s="3">
        <v>0.98238658465186579</v>
      </c>
      <c r="G593" s="3"/>
    </row>
    <row r="594" spans="1:7" x14ac:dyDescent="0.25">
      <c r="A594" t="s">
        <v>68</v>
      </c>
      <c r="B594">
        <v>2050</v>
      </c>
      <c r="C594" t="s">
        <v>17</v>
      </c>
      <c r="D594" t="s">
        <v>14</v>
      </c>
      <c r="E594" t="s">
        <v>9</v>
      </c>
      <c r="F594" s="3">
        <v>0.96755200168203015</v>
      </c>
      <c r="G594" s="3"/>
    </row>
    <row r="595" spans="1:7" x14ac:dyDescent="0.25">
      <c r="A595" t="s">
        <v>68</v>
      </c>
      <c r="B595">
        <v>2050</v>
      </c>
      <c r="C595" t="s">
        <v>17</v>
      </c>
      <c r="D595" t="s">
        <v>14</v>
      </c>
      <c r="E595" t="s">
        <v>18</v>
      </c>
      <c r="F595" s="3">
        <v>0.99374415850439179</v>
      </c>
      <c r="G595" s="3"/>
    </row>
    <row r="596" spans="1:7" x14ac:dyDescent="0.25">
      <c r="A596" t="s">
        <v>68</v>
      </c>
      <c r="B596">
        <v>2050</v>
      </c>
      <c r="C596" t="s">
        <v>17</v>
      </c>
      <c r="D596" t="s">
        <v>14</v>
      </c>
      <c r="E596" t="s">
        <v>10</v>
      </c>
      <c r="F596" s="3">
        <v>0.99372483152342272</v>
      </c>
      <c r="G596" s="3"/>
    </row>
    <row r="597" spans="1:7" x14ac:dyDescent="0.25">
      <c r="A597" t="s">
        <v>68</v>
      </c>
      <c r="B597">
        <v>2050</v>
      </c>
      <c r="C597" t="s">
        <v>17</v>
      </c>
      <c r="D597" t="s">
        <v>14</v>
      </c>
      <c r="E597" t="s">
        <v>11</v>
      </c>
      <c r="F597" s="3">
        <v>0.98904916797189124</v>
      </c>
      <c r="G597" s="3"/>
    </row>
    <row r="598" spans="1:7" x14ac:dyDescent="0.25">
      <c r="A598" t="s">
        <v>68</v>
      </c>
      <c r="B598">
        <v>2050</v>
      </c>
      <c r="C598" t="s">
        <v>17</v>
      </c>
      <c r="D598" t="s">
        <v>53</v>
      </c>
      <c r="E598" t="s">
        <v>9</v>
      </c>
      <c r="F598" s="3">
        <v>0.95157936039837787</v>
      </c>
      <c r="G598" s="3"/>
    </row>
    <row r="599" spans="1:7" x14ac:dyDescent="0.25">
      <c r="A599" t="s">
        <v>68</v>
      </c>
      <c r="B599">
        <v>2050</v>
      </c>
      <c r="C599" t="s">
        <v>17</v>
      </c>
      <c r="D599" t="s">
        <v>53</v>
      </c>
      <c r="E599" t="s">
        <v>18</v>
      </c>
      <c r="F599" s="3">
        <v>0.99019930848918303</v>
      </c>
      <c r="G599" s="3"/>
    </row>
    <row r="600" spans="1:7" x14ac:dyDescent="0.25">
      <c r="A600" t="s">
        <v>68</v>
      </c>
      <c r="B600">
        <v>2050</v>
      </c>
      <c r="C600" t="s">
        <v>17</v>
      </c>
      <c r="D600" t="s">
        <v>53</v>
      </c>
      <c r="E600" t="s">
        <v>10</v>
      </c>
      <c r="F600" s="3">
        <v>0.99047026671717431</v>
      </c>
      <c r="G600" s="3"/>
    </row>
    <row r="601" spans="1:7" x14ac:dyDescent="0.25">
      <c r="A601" t="s">
        <v>68</v>
      </c>
      <c r="B601">
        <v>2023</v>
      </c>
      <c r="C601" t="s">
        <v>19</v>
      </c>
      <c r="D601" t="s">
        <v>8</v>
      </c>
      <c r="E601" t="s">
        <v>55</v>
      </c>
      <c r="F601" s="3">
        <v>0.9770072262166376</v>
      </c>
      <c r="G601" s="3"/>
    </row>
    <row r="602" spans="1:7" x14ac:dyDescent="0.25">
      <c r="A602" t="s">
        <v>68</v>
      </c>
      <c r="B602">
        <v>2023</v>
      </c>
      <c r="C602" t="s">
        <v>19</v>
      </c>
      <c r="D602" t="s">
        <v>8</v>
      </c>
      <c r="E602" t="s">
        <v>54</v>
      </c>
      <c r="F602" s="3">
        <v>0.96659211296828973</v>
      </c>
      <c r="G602" s="3"/>
    </row>
    <row r="603" spans="1:7" x14ac:dyDescent="0.25">
      <c r="A603" t="s">
        <v>68</v>
      </c>
      <c r="B603">
        <v>2023</v>
      </c>
      <c r="C603" t="s">
        <v>19</v>
      </c>
      <c r="D603" t="s">
        <v>8</v>
      </c>
      <c r="E603" t="s">
        <v>11</v>
      </c>
      <c r="F603" s="3">
        <v>0.98073208764779951</v>
      </c>
      <c r="G603" s="3"/>
    </row>
    <row r="604" spans="1:7" x14ac:dyDescent="0.25">
      <c r="A604" t="s">
        <v>68</v>
      </c>
      <c r="B604">
        <v>2023</v>
      </c>
      <c r="C604" t="s">
        <v>19</v>
      </c>
      <c r="D604" t="s">
        <v>8</v>
      </c>
      <c r="E604" t="s">
        <v>20</v>
      </c>
      <c r="F604" s="3">
        <v>0.9763680674587325</v>
      </c>
      <c r="G604" s="3"/>
    </row>
    <row r="605" spans="1:7" x14ac:dyDescent="0.25">
      <c r="A605" t="s">
        <v>68</v>
      </c>
      <c r="B605">
        <v>2023</v>
      </c>
      <c r="C605" t="s">
        <v>19</v>
      </c>
      <c r="D605" t="s">
        <v>8</v>
      </c>
      <c r="E605" t="s">
        <v>21</v>
      </c>
      <c r="F605" s="3">
        <v>0.98532183773215398</v>
      </c>
      <c r="G605" s="3"/>
    </row>
    <row r="606" spans="1:7" x14ac:dyDescent="0.25">
      <c r="A606" t="s">
        <v>68</v>
      </c>
      <c r="B606">
        <v>2023</v>
      </c>
      <c r="C606" t="s">
        <v>19</v>
      </c>
      <c r="D606" t="s">
        <v>13</v>
      </c>
      <c r="E606" t="s">
        <v>55</v>
      </c>
      <c r="F606" s="3">
        <v>0.97869656906053404</v>
      </c>
      <c r="G606" s="3"/>
    </row>
    <row r="607" spans="1:7" x14ac:dyDescent="0.25">
      <c r="A607" t="s">
        <v>68</v>
      </c>
      <c r="B607">
        <v>2023</v>
      </c>
      <c r="C607" t="s">
        <v>19</v>
      </c>
      <c r="D607" t="s">
        <v>13</v>
      </c>
      <c r="E607" t="s">
        <v>54</v>
      </c>
      <c r="F607" s="3">
        <v>0.96823287211849074</v>
      </c>
      <c r="G607" s="3"/>
    </row>
    <row r="608" spans="1:7" x14ac:dyDescent="0.25">
      <c r="A608" t="s">
        <v>68</v>
      </c>
      <c r="B608">
        <v>2023</v>
      </c>
      <c r="C608" t="s">
        <v>19</v>
      </c>
      <c r="D608" t="s">
        <v>13</v>
      </c>
      <c r="E608" t="s">
        <v>11</v>
      </c>
      <c r="F608" s="3">
        <v>0.98120477845085641</v>
      </c>
      <c r="G608" s="3"/>
    </row>
    <row r="609" spans="1:7" x14ac:dyDescent="0.25">
      <c r="A609" t="s">
        <v>68</v>
      </c>
      <c r="B609">
        <v>2023</v>
      </c>
      <c r="C609" t="s">
        <v>19</v>
      </c>
      <c r="D609" t="s">
        <v>13</v>
      </c>
      <c r="E609" t="s">
        <v>20</v>
      </c>
      <c r="F609" s="3">
        <v>0.97699617169756015</v>
      </c>
      <c r="G609" s="3"/>
    </row>
    <row r="610" spans="1:7" x14ac:dyDescent="0.25">
      <c r="A610" t="s">
        <v>68</v>
      </c>
      <c r="B610">
        <v>2023</v>
      </c>
      <c r="C610" t="s">
        <v>19</v>
      </c>
      <c r="D610" t="s">
        <v>13</v>
      </c>
      <c r="E610" t="s">
        <v>21</v>
      </c>
      <c r="F610" s="3">
        <v>0.98552323247933848</v>
      </c>
      <c r="G610" s="3"/>
    </row>
    <row r="611" spans="1:7" x14ac:dyDescent="0.25">
      <c r="A611" t="s">
        <v>68</v>
      </c>
      <c r="B611">
        <v>2023</v>
      </c>
      <c r="C611" t="s">
        <v>19</v>
      </c>
      <c r="D611" t="s">
        <v>14</v>
      </c>
      <c r="E611" t="s">
        <v>55</v>
      </c>
      <c r="F611" s="3">
        <v>0.9770007660165938</v>
      </c>
      <c r="G611" s="3"/>
    </row>
    <row r="612" spans="1:7" x14ac:dyDescent="0.25">
      <c r="A612" t="s">
        <v>68</v>
      </c>
      <c r="B612">
        <v>2023</v>
      </c>
      <c r="C612" t="s">
        <v>19</v>
      </c>
      <c r="D612" t="s">
        <v>14</v>
      </c>
      <c r="E612" t="s">
        <v>54</v>
      </c>
      <c r="F612" s="3">
        <v>0.96658599989356897</v>
      </c>
      <c r="G612" s="3"/>
    </row>
    <row r="613" spans="1:7" x14ac:dyDescent="0.25">
      <c r="A613" t="s">
        <v>68</v>
      </c>
      <c r="B613">
        <v>2023</v>
      </c>
      <c r="C613" t="s">
        <v>19</v>
      </c>
      <c r="D613" t="s">
        <v>14</v>
      </c>
      <c r="E613" t="s">
        <v>11</v>
      </c>
      <c r="F613" s="3">
        <v>0.98073002377074159</v>
      </c>
      <c r="G613" s="3"/>
    </row>
    <row r="614" spans="1:7" x14ac:dyDescent="0.25">
      <c r="A614" t="s">
        <v>68</v>
      </c>
      <c r="B614">
        <v>2023</v>
      </c>
      <c r="C614" t="s">
        <v>19</v>
      </c>
      <c r="D614" t="s">
        <v>14</v>
      </c>
      <c r="E614" t="s">
        <v>20</v>
      </c>
      <c r="F614" s="3">
        <v>0.97636541179631564</v>
      </c>
      <c r="G614" s="3"/>
    </row>
    <row r="615" spans="1:7" x14ac:dyDescent="0.25">
      <c r="A615" t="s">
        <v>68</v>
      </c>
      <c r="B615">
        <v>2023</v>
      </c>
      <c r="C615" t="s">
        <v>19</v>
      </c>
      <c r="D615" t="s">
        <v>14</v>
      </c>
      <c r="E615" t="s">
        <v>21</v>
      </c>
      <c r="F615" s="3">
        <v>0.98532105593669927</v>
      </c>
      <c r="G615" s="3"/>
    </row>
    <row r="616" spans="1:7" x14ac:dyDescent="0.25">
      <c r="A616" t="s">
        <v>68</v>
      </c>
      <c r="B616">
        <v>2023</v>
      </c>
      <c r="C616" t="s">
        <v>19</v>
      </c>
      <c r="D616" t="s">
        <v>53</v>
      </c>
      <c r="E616" t="s">
        <v>55</v>
      </c>
      <c r="F616" s="3">
        <v>0.97698965288887907</v>
      </c>
      <c r="G616" s="3"/>
    </row>
    <row r="617" spans="1:7" x14ac:dyDescent="0.25">
      <c r="A617" t="s">
        <v>68</v>
      </c>
      <c r="B617">
        <v>2023</v>
      </c>
      <c r="C617" t="s">
        <v>19</v>
      </c>
      <c r="D617" t="s">
        <v>53</v>
      </c>
      <c r="E617" t="s">
        <v>54</v>
      </c>
      <c r="F617" s="3">
        <v>0.96657548670816806</v>
      </c>
      <c r="G617" s="3"/>
    </row>
    <row r="618" spans="1:7" x14ac:dyDescent="0.25">
      <c r="A618" t="s">
        <v>68</v>
      </c>
      <c r="B618">
        <v>2023</v>
      </c>
      <c r="C618" t="s">
        <v>19</v>
      </c>
      <c r="D618" t="s">
        <v>53</v>
      </c>
      <c r="E618" t="s">
        <v>11</v>
      </c>
      <c r="F618" s="3">
        <v>0.98072744153701752</v>
      </c>
      <c r="G618" s="3"/>
    </row>
    <row r="619" spans="1:7" x14ac:dyDescent="0.25">
      <c r="A619" t="s">
        <v>68</v>
      </c>
      <c r="B619">
        <v>2023</v>
      </c>
      <c r="C619" t="s">
        <v>19</v>
      </c>
      <c r="D619" t="s">
        <v>53</v>
      </c>
      <c r="E619" t="s">
        <v>20</v>
      </c>
      <c r="F619" s="3">
        <v>0.97636187464048774</v>
      </c>
      <c r="G619" s="3"/>
    </row>
    <row r="620" spans="1:7" x14ac:dyDescent="0.25">
      <c r="A620" t="s">
        <v>68</v>
      </c>
      <c r="B620">
        <v>2023</v>
      </c>
      <c r="C620" t="s">
        <v>19</v>
      </c>
      <c r="D620" t="s">
        <v>53</v>
      </c>
      <c r="E620" t="s">
        <v>21</v>
      </c>
      <c r="F620" s="3">
        <v>0.98531987448985237</v>
      </c>
      <c r="G620" s="3"/>
    </row>
    <row r="621" spans="1:7" x14ac:dyDescent="0.25">
      <c r="A621" t="s">
        <v>68</v>
      </c>
      <c r="B621">
        <v>2034</v>
      </c>
      <c r="C621" t="s">
        <v>19</v>
      </c>
      <c r="D621" t="s">
        <v>8</v>
      </c>
      <c r="E621" t="s">
        <v>55</v>
      </c>
      <c r="F621" s="3">
        <v>0.91435117400938704</v>
      </c>
      <c r="G621" s="3"/>
    </row>
    <row r="622" spans="1:7" x14ac:dyDescent="0.25">
      <c r="A622" t="s">
        <v>68</v>
      </c>
      <c r="B622">
        <v>2034</v>
      </c>
      <c r="C622" t="s">
        <v>19</v>
      </c>
      <c r="D622" t="s">
        <v>8</v>
      </c>
      <c r="E622" t="s">
        <v>54</v>
      </c>
      <c r="F622" s="3">
        <v>0.86917560791901605</v>
      </c>
      <c r="G622" s="3"/>
    </row>
    <row r="623" spans="1:7" x14ac:dyDescent="0.25">
      <c r="A623" t="s">
        <v>68</v>
      </c>
      <c r="B623">
        <v>2034</v>
      </c>
      <c r="C623" t="s">
        <v>19</v>
      </c>
      <c r="D623" t="s">
        <v>8</v>
      </c>
      <c r="E623" t="s">
        <v>11</v>
      </c>
      <c r="F623" s="3">
        <v>0.96876832520440281</v>
      </c>
      <c r="G623" s="3"/>
    </row>
    <row r="624" spans="1:7" x14ac:dyDescent="0.25">
      <c r="A624" t="s">
        <v>68</v>
      </c>
      <c r="B624">
        <v>2034</v>
      </c>
      <c r="C624" t="s">
        <v>19</v>
      </c>
      <c r="D624" t="s">
        <v>8</v>
      </c>
      <c r="E624" t="s">
        <v>20</v>
      </c>
      <c r="F624" s="3">
        <v>0.96402435867415437</v>
      </c>
      <c r="G624" s="3"/>
    </row>
    <row r="625" spans="1:7" x14ac:dyDescent="0.25">
      <c r="A625" t="s">
        <v>68</v>
      </c>
      <c r="B625">
        <v>2034</v>
      </c>
      <c r="C625" t="s">
        <v>19</v>
      </c>
      <c r="D625" t="s">
        <v>8</v>
      </c>
      <c r="E625" t="s">
        <v>21</v>
      </c>
      <c r="F625" s="3">
        <v>0.96958260356281867</v>
      </c>
      <c r="G625" s="3"/>
    </row>
    <row r="626" spans="1:7" x14ac:dyDescent="0.25">
      <c r="A626" t="s">
        <v>68</v>
      </c>
      <c r="B626">
        <v>2034</v>
      </c>
      <c r="C626" t="s">
        <v>19</v>
      </c>
      <c r="D626" t="s">
        <v>13</v>
      </c>
      <c r="E626" t="s">
        <v>55</v>
      </c>
      <c r="F626" s="3">
        <v>0.92125344647449081</v>
      </c>
      <c r="G626" s="3"/>
    </row>
    <row r="627" spans="1:7" x14ac:dyDescent="0.25">
      <c r="A627" t="s">
        <v>68</v>
      </c>
      <c r="B627">
        <v>2034</v>
      </c>
      <c r="C627" t="s">
        <v>19</v>
      </c>
      <c r="D627" t="s">
        <v>13</v>
      </c>
      <c r="E627" t="s">
        <v>54</v>
      </c>
      <c r="F627" s="3">
        <v>0.87658265414421443</v>
      </c>
      <c r="G627" s="3"/>
    </row>
    <row r="628" spans="1:7" x14ac:dyDescent="0.25">
      <c r="A628" t="s">
        <v>68</v>
      </c>
      <c r="B628">
        <v>2034</v>
      </c>
      <c r="C628" t="s">
        <v>19</v>
      </c>
      <c r="D628" t="s">
        <v>13</v>
      </c>
      <c r="E628" t="s">
        <v>11</v>
      </c>
      <c r="F628" s="3">
        <v>0.96964336574193677</v>
      </c>
      <c r="G628" s="3"/>
    </row>
    <row r="629" spans="1:7" x14ac:dyDescent="0.25">
      <c r="A629" t="s">
        <v>68</v>
      </c>
      <c r="B629">
        <v>2034</v>
      </c>
      <c r="C629" t="s">
        <v>19</v>
      </c>
      <c r="D629" t="s">
        <v>13</v>
      </c>
      <c r="E629" t="s">
        <v>20</v>
      </c>
      <c r="F629" s="3">
        <v>0.96505160615423602</v>
      </c>
      <c r="G629" s="3"/>
    </row>
    <row r="630" spans="1:7" x14ac:dyDescent="0.25">
      <c r="A630" t="s">
        <v>68</v>
      </c>
      <c r="B630">
        <v>2034</v>
      </c>
      <c r="C630" t="s">
        <v>19</v>
      </c>
      <c r="D630" t="s">
        <v>13</v>
      </c>
      <c r="E630" t="s">
        <v>21</v>
      </c>
      <c r="F630" s="3">
        <v>0.97018743860908951</v>
      </c>
      <c r="G630" s="3"/>
    </row>
    <row r="631" spans="1:7" x14ac:dyDescent="0.25">
      <c r="A631" t="s">
        <v>68</v>
      </c>
      <c r="B631">
        <v>2034</v>
      </c>
      <c r="C631" t="s">
        <v>19</v>
      </c>
      <c r="D631" t="s">
        <v>14</v>
      </c>
      <c r="E631" t="s">
        <v>55</v>
      </c>
      <c r="F631" s="3">
        <v>0.91432457403815048</v>
      </c>
      <c r="G631" s="3"/>
    </row>
    <row r="632" spans="1:7" x14ac:dyDescent="0.25">
      <c r="A632" t="s">
        <v>68</v>
      </c>
      <c r="B632">
        <v>2034</v>
      </c>
      <c r="C632" t="s">
        <v>19</v>
      </c>
      <c r="D632" t="s">
        <v>14</v>
      </c>
      <c r="E632" t="s">
        <v>54</v>
      </c>
      <c r="F632" s="3">
        <v>0.86914779066455838</v>
      </c>
      <c r="G632" s="3"/>
    </row>
    <row r="633" spans="1:7" x14ac:dyDescent="0.25">
      <c r="A633" t="s">
        <v>68</v>
      </c>
      <c r="B633">
        <v>2034</v>
      </c>
      <c r="C633" t="s">
        <v>19</v>
      </c>
      <c r="D633" t="s">
        <v>14</v>
      </c>
      <c r="E633" t="s">
        <v>11</v>
      </c>
      <c r="F633" s="3">
        <v>0.96876450432493588</v>
      </c>
      <c r="G633" s="3"/>
    </row>
    <row r="634" spans="1:7" x14ac:dyDescent="0.25">
      <c r="A634" t="s">
        <v>68</v>
      </c>
      <c r="B634">
        <v>2034</v>
      </c>
      <c r="C634" t="s">
        <v>19</v>
      </c>
      <c r="D634" t="s">
        <v>14</v>
      </c>
      <c r="E634" t="s">
        <v>20</v>
      </c>
      <c r="F634" s="3">
        <v>0.96402001447221397</v>
      </c>
      <c r="G634" s="3"/>
    </row>
    <row r="635" spans="1:7" x14ac:dyDescent="0.25">
      <c r="A635" t="s">
        <v>68</v>
      </c>
      <c r="B635">
        <v>2034</v>
      </c>
      <c r="C635" t="s">
        <v>19</v>
      </c>
      <c r="D635" t="s">
        <v>14</v>
      </c>
      <c r="E635" t="s">
        <v>21</v>
      </c>
      <c r="F635" s="3">
        <v>0.96958024082672667</v>
      </c>
      <c r="G635" s="3"/>
    </row>
    <row r="636" spans="1:7" x14ac:dyDescent="0.25">
      <c r="A636" t="s">
        <v>68</v>
      </c>
      <c r="B636">
        <v>2034</v>
      </c>
      <c r="C636" t="s">
        <v>19</v>
      </c>
      <c r="D636" t="s">
        <v>53</v>
      </c>
      <c r="E636" t="s">
        <v>55</v>
      </c>
      <c r="F636" s="3">
        <v>0.91427881188292126</v>
      </c>
      <c r="G636" s="3"/>
    </row>
    <row r="637" spans="1:7" x14ac:dyDescent="0.25">
      <c r="A637" t="s">
        <v>68</v>
      </c>
      <c r="B637">
        <v>2034</v>
      </c>
      <c r="C637" t="s">
        <v>19</v>
      </c>
      <c r="D637" t="s">
        <v>53</v>
      </c>
      <c r="E637" t="s">
        <v>54</v>
      </c>
      <c r="F637" s="3">
        <v>0.86909994705962601</v>
      </c>
      <c r="G637" s="3"/>
    </row>
    <row r="638" spans="1:7" x14ac:dyDescent="0.25">
      <c r="A638" t="s">
        <v>68</v>
      </c>
      <c r="B638">
        <v>2034</v>
      </c>
      <c r="C638" t="s">
        <v>19</v>
      </c>
      <c r="D638" t="s">
        <v>53</v>
      </c>
      <c r="E638" t="s">
        <v>11</v>
      </c>
      <c r="F638" s="3">
        <v>0.96875969233905002</v>
      </c>
      <c r="G638" s="3"/>
    </row>
    <row r="639" spans="1:7" x14ac:dyDescent="0.25">
      <c r="A639" t="s">
        <v>68</v>
      </c>
      <c r="B639">
        <v>2034</v>
      </c>
      <c r="C639" t="s">
        <v>19</v>
      </c>
      <c r="D639" t="s">
        <v>53</v>
      </c>
      <c r="E639" t="s">
        <v>20</v>
      </c>
      <c r="F639" s="3">
        <v>0.96401420917704694</v>
      </c>
      <c r="G639" s="3"/>
    </row>
    <row r="640" spans="1:7" x14ac:dyDescent="0.25">
      <c r="A640" t="s">
        <v>68</v>
      </c>
      <c r="B640">
        <v>2034</v>
      </c>
      <c r="C640" t="s">
        <v>19</v>
      </c>
      <c r="D640" t="s">
        <v>53</v>
      </c>
      <c r="E640" t="s">
        <v>21</v>
      </c>
      <c r="F640" s="3">
        <v>0.96957667004842407</v>
      </c>
      <c r="G640" s="3"/>
    </row>
    <row r="641" spans="1:7" x14ac:dyDescent="0.25">
      <c r="A641" t="s">
        <v>68</v>
      </c>
      <c r="B641">
        <v>2050</v>
      </c>
      <c r="C641" t="s">
        <v>19</v>
      </c>
      <c r="D641" t="s">
        <v>8</v>
      </c>
      <c r="E641" t="s">
        <v>55</v>
      </c>
      <c r="F641" s="3">
        <v>0.90766002054982542</v>
      </c>
      <c r="G641" s="3"/>
    </row>
    <row r="642" spans="1:7" x14ac:dyDescent="0.25">
      <c r="A642" t="s">
        <v>68</v>
      </c>
      <c r="B642">
        <v>2050</v>
      </c>
      <c r="C642" t="s">
        <v>19</v>
      </c>
      <c r="D642" t="s">
        <v>8</v>
      </c>
      <c r="E642" t="s">
        <v>54</v>
      </c>
      <c r="F642" s="3">
        <v>0.85176875751396475</v>
      </c>
      <c r="G642" s="3"/>
    </row>
    <row r="643" spans="1:7" x14ac:dyDescent="0.25">
      <c r="A643" t="s">
        <v>68</v>
      </c>
      <c r="B643">
        <v>2050</v>
      </c>
      <c r="C643" t="s">
        <v>19</v>
      </c>
      <c r="D643" t="s">
        <v>8</v>
      </c>
      <c r="E643" t="s">
        <v>11</v>
      </c>
      <c r="F643" s="3">
        <v>0.95215044477953137</v>
      </c>
      <c r="G643" s="3"/>
    </row>
    <row r="644" spans="1:7" x14ac:dyDescent="0.25">
      <c r="A644" t="s">
        <v>68</v>
      </c>
      <c r="B644">
        <v>2050</v>
      </c>
      <c r="C644" t="s">
        <v>19</v>
      </c>
      <c r="D644" t="s">
        <v>8</v>
      </c>
      <c r="E644" t="s">
        <v>20</v>
      </c>
      <c r="F644" s="3">
        <v>0.94685336831016231</v>
      </c>
      <c r="G644" s="3"/>
    </row>
    <row r="645" spans="1:7" x14ac:dyDescent="0.25">
      <c r="A645" t="s">
        <v>68</v>
      </c>
      <c r="B645">
        <v>2050</v>
      </c>
      <c r="C645" t="s">
        <v>19</v>
      </c>
      <c r="D645" t="s">
        <v>8</v>
      </c>
      <c r="E645" t="s">
        <v>21</v>
      </c>
      <c r="F645" s="3">
        <v>0.94776591748146899</v>
      </c>
      <c r="G645" s="3"/>
    </row>
    <row r="646" spans="1:7" x14ac:dyDescent="0.25">
      <c r="A646" t="s">
        <v>68</v>
      </c>
      <c r="B646">
        <v>2050</v>
      </c>
      <c r="C646" t="s">
        <v>19</v>
      </c>
      <c r="D646" t="s">
        <v>13</v>
      </c>
      <c r="E646" t="s">
        <v>55</v>
      </c>
      <c r="F646" s="3">
        <v>0.91559876013359376</v>
      </c>
      <c r="G646" s="3"/>
    </row>
    <row r="647" spans="1:7" x14ac:dyDescent="0.25">
      <c r="A647" t="s">
        <v>68</v>
      </c>
      <c r="B647">
        <v>2050</v>
      </c>
      <c r="C647" t="s">
        <v>19</v>
      </c>
      <c r="D647" t="s">
        <v>13</v>
      </c>
      <c r="E647" t="s">
        <v>54</v>
      </c>
      <c r="F647" s="3">
        <v>0.86116577921306381</v>
      </c>
      <c r="G647" s="3"/>
    </row>
    <row r="648" spans="1:7" x14ac:dyDescent="0.25">
      <c r="A648" t="s">
        <v>68</v>
      </c>
      <c r="B648">
        <v>2050</v>
      </c>
      <c r="C648" t="s">
        <v>19</v>
      </c>
      <c r="D648" t="s">
        <v>13</v>
      </c>
      <c r="E648" t="s">
        <v>11</v>
      </c>
      <c r="F648" s="3">
        <v>0.9541155842108211</v>
      </c>
      <c r="G648" s="3"/>
    </row>
    <row r="649" spans="1:7" x14ac:dyDescent="0.25">
      <c r="A649" t="s">
        <v>68</v>
      </c>
      <c r="B649">
        <v>2050</v>
      </c>
      <c r="C649" t="s">
        <v>19</v>
      </c>
      <c r="D649" t="s">
        <v>13</v>
      </c>
      <c r="E649" t="s">
        <v>20</v>
      </c>
      <c r="F649" s="3">
        <v>0.949001835494931</v>
      </c>
      <c r="G649" s="3"/>
    </row>
    <row r="650" spans="1:7" x14ac:dyDescent="0.25">
      <c r="A650" t="s">
        <v>68</v>
      </c>
      <c r="B650">
        <v>2050</v>
      </c>
      <c r="C650" t="s">
        <v>19</v>
      </c>
      <c r="D650" t="s">
        <v>13</v>
      </c>
      <c r="E650" t="s">
        <v>21</v>
      </c>
      <c r="F650" s="3">
        <v>0.94940128664286627</v>
      </c>
      <c r="G650" s="3"/>
    </row>
    <row r="651" spans="1:7" x14ac:dyDescent="0.25">
      <c r="A651" t="s">
        <v>68</v>
      </c>
      <c r="B651">
        <v>2050</v>
      </c>
      <c r="C651" t="s">
        <v>19</v>
      </c>
      <c r="D651" t="s">
        <v>14</v>
      </c>
      <c r="E651" t="s">
        <v>55</v>
      </c>
      <c r="F651" s="3">
        <v>0.90762924530104505</v>
      </c>
      <c r="G651" s="3"/>
    </row>
    <row r="652" spans="1:7" x14ac:dyDescent="0.25">
      <c r="A652" t="s">
        <v>68</v>
      </c>
      <c r="B652">
        <v>2050</v>
      </c>
      <c r="C652" t="s">
        <v>19</v>
      </c>
      <c r="D652" t="s">
        <v>14</v>
      </c>
      <c r="E652" t="s">
        <v>54</v>
      </c>
      <c r="F652" s="3">
        <v>0.85173321059722651</v>
      </c>
      <c r="G652" s="3"/>
    </row>
    <row r="653" spans="1:7" x14ac:dyDescent="0.25">
      <c r="A653" t="s">
        <v>68</v>
      </c>
      <c r="B653">
        <v>2050</v>
      </c>
      <c r="C653" t="s">
        <v>19</v>
      </c>
      <c r="D653" t="s">
        <v>14</v>
      </c>
      <c r="E653" t="s">
        <v>11</v>
      </c>
      <c r="F653" s="3">
        <v>0.95214200486725753</v>
      </c>
      <c r="G653" s="3"/>
    </row>
    <row r="654" spans="1:7" x14ac:dyDescent="0.25">
      <c r="A654" t="s">
        <v>68</v>
      </c>
      <c r="B654">
        <v>2050</v>
      </c>
      <c r="C654" t="s">
        <v>19</v>
      </c>
      <c r="D654" t="s">
        <v>14</v>
      </c>
      <c r="E654" t="s">
        <v>20</v>
      </c>
      <c r="F654" s="3">
        <v>0.94684431062079577</v>
      </c>
      <c r="G654" s="3"/>
    </row>
    <row r="655" spans="1:7" x14ac:dyDescent="0.25">
      <c r="A655" t="s">
        <v>68</v>
      </c>
      <c r="B655">
        <v>2050</v>
      </c>
      <c r="C655" t="s">
        <v>19</v>
      </c>
      <c r="D655" t="s">
        <v>14</v>
      </c>
      <c r="E655" t="s">
        <v>21</v>
      </c>
      <c r="F655" s="3">
        <v>0.94775945341476442</v>
      </c>
      <c r="G655" s="3"/>
    </row>
    <row r="656" spans="1:7" x14ac:dyDescent="0.25">
      <c r="A656" t="s">
        <v>68</v>
      </c>
      <c r="B656">
        <v>2050</v>
      </c>
      <c r="C656" t="s">
        <v>19</v>
      </c>
      <c r="D656" t="s">
        <v>53</v>
      </c>
      <c r="E656" t="s">
        <v>55</v>
      </c>
      <c r="F656" s="3">
        <v>0.90757629679633478</v>
      </c>
      <c r="G656" s="3"/>
    </row>
    <row r="657" spans="1:7" x14ac:dyDescent="0.25">
      <c r="A657" t="s">
        <v>68</v>
      </c>
      <c r="B657">
        <v>2050</v>
      </c>
      <c r="C657" t="s">
        <v>19</v>
      </c>
      <c r="D657" t="s">
        <v>53</v>
      </c>
      <c r="E657" t="s">
        <v>54</v>
      </c>
      <c r="F657" s="3">
        <v>0.85167206803064044</v>
      </c>
      <c r="G657" s="3"/>
    </row>
    <row r="658" spans="1:7" x14ac:dyDescent="0.25">
      <c r="A658" t="s">
        <v>68</v>
      </c>
      <c r="B658">
        <v>2050</v>
      </c>
      <c r="C658" t="s">
        <v>19</v>
      </c>
      <c r="D658" t="s">
        <v>53</v>
      </c>
      <c r="E658" t="s">
        <v>11</v>
      </c>
      <c r="F658" s="3">
        <v>0.95213077402582114</v>
      </c>
      <c r="G658" s="3"/>
    </row>
    <row r="659" spans="1:7" x14ac:dyDescent="0.25">
      <c r="A659" t="s">
        <v>68</v>
      </c>
      <c r="B659">
        <v>2050</v>
      </c>
      <c r="C659" t="s">
        <v>19</v>
      </c>
      <c r="D659" t="s">
        <v>53</v>
      </c>
      <c r="E659" t="s">
        <v>20</v>
      </c>
      <c r="F659" s="3">
        <v>0.94683186653150608</v>
      </c>
      <c r="G659" s="3"/>
    </row>
    <row r="660" spans="1:7" x14ac:dyDescent="0.25">
      <c r="A660" t="s">
        <v>68</v>
      </c>
      <c r="B660">
        <v>2050</v>
      </c>
      <c r="C660" t="s">
        <v>19</v>
      </c>
      <c r="D660" t="s">
        <v>53</v>
      </c>
      <c r="E660" t="s">
        <v>21</v>
      </c>
      <c r="F660" s="3">
        <v>0.94774968320813291</v>
      </c>
      <c r="G660" s="3"/>
    </row>
    <row r="661" spans="1:7" x14ac:dyDescent="0.25">
      <c r="A661" t="s">
        <v>16</v>
      </c>
      <c r="B661">
        <v>2023</v>
      </c>
      <c r="C661" t="s">
        <v>7</v>
      </c>
      <c r="D661" t="s">
        <v>8</v>
      </c>
      <c r="E661" t="s">
        <v>9</v>
      </c>
      <c r="F661" s="3">
        <v>1.0015069351213199</v>
      </c>
      <c r="G661" s="3"/>
    </row>
    <row r="662" spans="1:7" x14ac:dyDescent="0.25">
      <c r="A662" t="s">
        <v>16</v>
      </c>
      <c r="B662">
        <v>2023</v>
      </c>
      <c r="C662" t="s">
        <v>7</v>
      </c>
      <c r="D662" t="s">
        <v>8</v>
      </c>
      <c r="E662" t="s">
        <v>10</v>
      </c>
      <c r="F662" s="3">
        <v>1.0034853252281759</v>
      </c>
      <c r="G662" s="3"/>
    </row>
    <row r="663" spans="1:7" x14ac:dyDescent="0.25">
      <c r="A663" t="s">
        <v>16</v>
      </c>
      <c r="B663">
        <v>2023</v>
      </c>
      <c r="C663" t="s">
        <v>7</v>
      </c>
      <c r="D663" t="s">
        <v>8</v>
      </c>
      <c r="E663" t="s">
        <v>11</v>
      </c>
      <c r="F663" s="3">
        <v>1.007671648431463</v>
      </c>
      <c r="G663" s="3"/>
    </row>
    <row r="664" spans="1:7" x14ac:dyDescent="0.25">
      <c r="A664" t="s">
        <v>16</v>
      </c>
      <c r="B664">
        <v>2023</v>
      </c>
      <c r="C664" t="s">
        <v>7</v>
      </c>
      <c r="D664" t="s">
        <v>12</v>
      </c>
      <c r="E664" t="s">
        <v>9</v>
      </c>
      <c r="F664" s="3">
        <v>1.0026204117499469</v>
      </c>
      <c r="G664" s="3"/>
    </row>
    <row r="665" spans="1:7" x14ac:dyDescent="0.25">
      <c r="A665" t="s">
        <v>16</v>
      </c>
      <c r="B665">
        <v>2023</v>
      </c>
      <c r="C665" t="s">
        <v>7</v>
      </c>
      <c r="D665" t="s">
        <v>12</v>
      </c>
      <c r="E665" t="s">
        <v>10</v>
      </c>
      <c r="F665" s="3">
        <v>1.0063539041135863</v>
      </c>
      <c r="G665" s="3"/>
    </row>
    <row r="666" spans="1:7" x14ac:dyDescent="0.25">
      <c r="A666" t="s">
        <v>16</v>
      </c>
      <c r="B666">
        <v>2023</v>
      </c>
      <c r="C666" t="s">
        <v>7</v>
      </c>
      <c r="D666" t="s">
        <v>12</v>
      </c>
      <c r="E666" t="s">
        <v>11</v>
      </c>
      <c r="F666" s="3">
        <v>1.0130223752431446</v>
      </c>
      <c r="G666" s="3"/>
    </row>
    <row r="667" spans="1:7" x14ac:dyDescent="0.25">
      <c r="A667" t="s">
        <v>16</v>
      </c>
      <c r="B667">
        <v>2023</v>
      </c>
      <c r="C667" t="s">
        <v>7</v>
      </c>
      <c r="D667" t="s">
        <v>13</v>
      </c>
      <c r="E667" t="s">
        <v>9</v>
      </c>
      <c r="F667" s="3">
        <v>1.0025961210196472</v>
      </c>
      <c r="G667" s="3"/>
    </row>
    <row r="668" spans="1:7" x14ac:dyDescent="0.25">
      <c r="A668" t="s">
        <v>16</v>
      </c>
      <c r="B668">
        <v>2023</v>
      </c>
      <c r="C668" t="s">
        <v>7</v>
      </c>
      <c r="D668" t="s">
        <v>13</v>
      </c>
      <c r="E668" t="s">
        <v>10</v>
      </c>
      <c r="F668" s="3">
        <v>1.006247322328474</v>
      </c>
      <c r="G668" s="3"/>
    </row>
    <row r="669" spans="1:7" x14ac:dyDescent="0.25">
      <c r="A669" t="s">
        <v>16</v>
      </c>
      <c r="B669">
        <v>2023</v>
      </c>
      <c r="C669" t="s">
        <v>7</v>
      </c>
      <c r="D669" t="s">
        <v>13</v>
      </c>
      <c r="E669" t="s">
        <v>11</v>
      </c>
      <c r="F669" s="3">
        <v>1.0128183840745999</v>
      </c>
      <c r="G669" s="3"/>
    </row>
    <row r="670" spans="1:7" x14ac:dyDescent="0.25">
      <c r="A670" t="s">
        <v>16</v>
      </c>
      <c r="B670">
        <v>2023</v>
      </c>
      <c r="C670" t="s">
        <v>7</v>
      </c>
      <c r="D670" t="s">
        <v>14</v>
      </c>
      <c r="E670" t="s">
        <v>9</v>
      </c>
      <c r="F670" s="3">
        <v>1.0020278899208586</v>
      </c>
      <c r="G670" s="3"/>
    </row>
    <row r="671" spans="1:7" x14ac:dyDescent="0.25">
      <c r="A671" t="s">
        <v>16</v>
      </c>
      <c r="B671">
        <v>2023</v>
      </c>
      <c r="C671" t="s">
        <v>7</v>
      </c>
      <c r="D671" t="s">
        <v>14</v>
      </c>
      <c r="E671" t="s">
        <v>10</v>
      </c>
      <c r="F671" s="3">
        <v>1.0047833101675256</v>
      </c>
      <c r="G671" s="3"/>
    </row>
    <row r="672" spans="1:7" x14ac:dyDescent="0.25">
      <c r="A672" t="s">
        <v>16</v>
      </c>
      <c r="B672">
        <v>2023</v>
      </c>
      <c r="C672" t="s">
        <v>7</v>
      </c>
      <c r="D672" t="s">
        <v>14</v>
      </c>
      <c r="E672" t="s">
        <v>11</v>
      </c>
      <c r="F672" s="3">
        <v>1.0101830043975053</v>
      </c>
      <c r="G672" s="3"/>
    </row>
    <row r="673" spans="1:7" x14ac:dyDescent="0.25">
      <c r="A673" t="s">
        <v>16</v>
      </c>
      <c r="B673">
        <v>2023</v>
      </c>
      <c r="C673" t="s">
        <v>7</v>
      </c>
      <c r="D673" t="s">
        <v>53</v>
      </c>
      <c r="E673" t="s">
        <v>9</v>
      </c>
      <c r="F673" s="3">
        <v>1.0022898019193085</v>
      </c>
      <c r="G673" s="3"/>
    </row>
    <row r="674" spans="1:7" x14ac:dyDescent="0.25">
      <c r="A674" t="s">
        <v>16</v>
      </c>
      <c r="B674">
        <v>2023</v>
      </c>
      <c r="C674" t="s">
        <v>7</v>
      </c>
      <c r="D674" t="s">
        <v>53</v>
      </c>
      <c r="E674" t="s">
        <v>10</v>
      </c>
      <c r="F674" s="3">
        <v>1.0054492060826372</v>
      </c>
      <c r="G674" s="3"/>
    </row>
    <row r="675" spans="1:7" x14ac:dyDescent="0.25">
      <c r="A675" t="s">
        <v>16</v>
      </c>
      <c r="B675">
        <v>2023</v>
      </c>
      <c r="C675" t="s">
        <v>7</v>
      </c>
      <c r="D675" t="s">
        <v>53</v>
      </c>
      <c r="E675" t="s">
        <v>11</v>
      </c>
      <c r="F675" s="3">
        <v>1.0114055060280722</v>
      </c>
      <c r="G675" s="3"/>
    </row>
    <row r="676" spans="1:7" x14ac:dyDescent="0.25">
      <c r="A676" t="s">
        <v>16</v>
      </c>
      <c r="B676">
        <v>2034</v>
      </c>
      <c r="C676" t="s">
        <v>7</v>
      </c>
      <c r="D676" t="s">
        <v>8</v>
      </c>
      <c r="E676" t="s">
        <v>9</v>
      </c>
      <c r="F676" s="3">
        <v>1.0057381105465133</v>
      </c>
      <c r="G676" s="3"/>
    </row>
    <row r="677" spans="1:7" x14ac:dyDescent="0.25">
      <c r="A677" t="s">
        <v>16</v>
      </c>
      <c r="B677">
        <v>2034</v>
      </c>
      <c r="C677" t="s">
        <v>7</v>
      </c>
      <c r="D677" t="s">
        <v>8</v>
      </c>
      <c r="E677" t="s">
        <v>10</v>
      </c>
      <c r="F677" s="3">
        <v>1</v>
      </c>
      <c r="G677" s="3"/>
    </row>
    <row r="678" spans="1:7" x14ac:dyDescent="0.25">
      <c r="A678" t="s">
        <v>16</v>
      </c>
      <c r="B678">
        <v>2034</v>
      </c>
      <c r="C678" t="s">
        <v>7</v>
      </c>
      <c r="D678" t="s">
        <v>8</v>
      </c>
      <c r="E678" t="s">
        <v>11</v>
      </c>
      <c r="F678" s="3">
        <v>1.0068802632607898</v>
      </c>
      <c r="G678" s="3"/>
    </row>
    <row r="679" spans="1:7" x14ac:dyDescent="0.25">
      <c r="A679" t="s">
        <v>16</v>
      </c>
      <c r="B679">
        <v>2034</v>
      </c>
      <c r="C679" t="s">
        <v>7</v>
      </c>
      <c r="D679" t="s">
        <v>12</v>
      </c>
      <c r="E679" t="s">
        <v>9</v>
      </c>
      <c r="F679" s="3">
        <v>1.0101646491172152</v>
      </c>
      <c r="G679" s="3"/>
    </row>
    <row r="680" spans="1:7" x14ac:dyDescent="0.25">
      <c r="A680" t="s">
        <v>16</v>
      </c>
      <c r="B680">
        <v>2034</v>
      </c>
      <c r="C680" t="s">
        <v>7</v>
      </c>
      <c r="D680" t="s">
        <v>12</v>
      </c>
      <c r="E680" t="s">
        <v>10</v>
      </c>
      <c r="F680" s="3">
        <v>1.0058089145035107</v>
      </c>
      <c r="G680" s="3"/>
    </row>
    <row r="681" spans="1:7" x14ac:dyDescent="0.25">
      <c r="A681" t="s">
        <v>16</v>
      </c>
      <c r="B681">
        <v>2034</v>
      </c>
      <c r="C681" t="s">
        <v>7</v>
      </c>
      <c r="D681" t="s">
        <v>12</v>
      </c>
      <c r="E681" t="s">
        <v>11</v>
      </c>
      <c r="F681" s="3">
        <v>1.0117644433302788</v>
      </c>
      <c r="G681" s="3"/>
    </row>
    <row r="682" spans="1:7" x14ac:dyDescent="0.25">
      <c r="A682" t="s">
        <v>16</v>
      </c>
      <c r="B682">
        <v>2034</v>
      </c>
      <c r="C682" t="s">
        <v>7</v>
      </c>
      <c r="D682" t="s">
        <v>13</v>
      </c>
      <c r="E682" t="s">
        <v>9</v>
      </c>
      <c r="F682" s="3">
        <v>1.0100630394500727</v>
      </c>
      <c r="G682" s="3"/>
    </row>
    <row r="683" spans="1:7" x14ac:dyDescent="0.25">
      <c r="A683" t="s">
        <v>16</v>
      </c>
      <c r="B683">
        <v>2034</v>
      </c>
      <c r="C683" t="s">
        <v>7</v>
      </c>
      <c r="D683" t="s">
        <v>13</v>
      </c>
      <c r="E683" t="s">
        <v>10</v>
      </c>
      <c r="F683" s="3">
        <v>1.0057429832570657</v>
      </c>
      <c r="G683" s="3"/>
    </row>
    <row r="684" spans="1:7" x14ac:dyDescent="0.25">
      <c r="A684" t="s">
        <v>16</v>
      </c>
      <c r="B684">
        <v>2034</v>
      </c>
      <c r="C684" t="s">
        <v>7</v>
      </c>
      <c r="D684" t="s">
        <v>13</v>
      </c>
      <c r="E684" t="s">
        <v>11</v>
      </c>
      <c r="F684" s="3">
        <v>1.0116239854743765</v>
      </c>
      <c r="G684" s="3"/>
    </row>
    <row r="685" spans="1:7" x14ac:dyDescent="0.25">
      <c r="A685" t="s">
        <v>16</v>
      </c>
      <c r="B685">
        <v>2034</v>
      </c>
      <c r="C685" t="s">
        <v>7</v>
      </c>
      <c r="D685" t="s">
        <v>14</v>
      </c>
      <c r="E685" t="s">
        <v>9</v>
      </c>
      <c r="F685" s="3">
        <v>1.0077878819602768</v>
      </c>
      <c r="G685" s="3"/>
    </row>
    <row r="686" spans="1:7" x14ac:dyDescent="0.25">
      <c r="A686" t="s">
        <v>16</v>
      </c>
      <c r="B686">
        <v>2034</v>
      </c>
      <c r="C686" t="s">
        <v>7</v>
      </c>
      <c r="D686" t="s">
        <v>14</v>
      </c>
      <c r="E686" t="s">
        <v>10</v>
      </c>
      <c r="F686" s="3">
        <v>1.0044149811878662</v>
      </c>
      <c r="G686" s="3"/>
    </row>
    <row r="687" spans="1:7" x14ac:dyDescent="0.25">
      <c r="A687" t="s">
        <v>16</v>
      </c>
      <c r="B687">
        <v>2034</v>
      </c>
      <c r="C687" t="s">
        <v>7</v>
      </c>
      <c r="D687" t="s">
        <v>14</v>
      </c>
      <c r="E687" t="s">
        <v>11</v>
      </c>
      <c r="F687" s="3">
        <v>1.0091762699604205</v>
      </c>
      <c r="G687" s="3"/>
    </row>
    <row r="688" spans="1:7" x14ac:dyDescent="0.25">
      <c r="A688" t="s">
        <v>16</v>
      </c>
      <c r="B688">
        <v>2034</v>
      </c>
      <c r="C688" t="s">
        <v>7</v>
      </c>
      <c r="D688" t="s">
        <v>53</v>
      </c>
      <c r="E688" t="s">
        <v>9</v>
      </c>
      <c r="F688" s="3">
        <v>1.0088312098768086</v>
      </c>
      <c r="G688" s="3"/>
    </row>
    <row r="689" spans="1:7" x14ac:dyDescent="0.25">
      <c r="A689" t="s">
        <v>16</v>
      </c>
      <c r="B689">
        <v>2034</v>
      </c>
      <c r="C689" t="s">
        <v>7</v>
      </c>
      <c r="D689" t="s">
        <v>53</v>
      </c>
      <c r="E689" t="s">
        <v>10</v>
      </c>
      <c r="F689" s="3">
        <v>1.0050212900291551</v>
      </c>
      <c r="G689" s="3"/>
    </row>
    <row r="690" spans="1:7" x14ac:dyDescent="0.25">
      <c r="A690" t="s">
        <v>16</v>
      </c>
      <c r="B690">
        <v>2034</v>
      </c>
      <c r="C690" t="s">
        <v>7</v>
      </c>
      <c r="D690" t="s">
        <v>53</v>
      </c>
      <c r="E690" t="s">
        <v>11</v>
      </c>
      <c r="F690" s="3">
        <v>1.0103095053014599</v>
      </c>
      <c r="G690" s="3"/>
    </row>
    <row r="691" spans="1:7" x14ac:dyDescent="0.25">
      <c r="A691" t="s">
        <v>16</v>
      </c>
      <c r="B691">
        <v>2050</v>
      </c>
      <c r="C691" t="s">
        <v>7</v>
      </c>
      <c r="D691" t="s">
        <v>8</v>
      </c>
      <c r="E691" t="s">
        <v>9</v>
      </c>
      <c r="F691" s="3">
        <v>1.0088327504773722</v>
      </c>
      <c r="G691" s="3"/>
    </row>
    <row r="692" spans="1:7" x14ac:dyDescent="0.25">
      <c r="A692" t="s">
        <v>16</v>
      </c>
      <c r="B692">
        <v>2050</v>
      </c>
      <c r="C692" t="s">
        <v>7</v>
      </c>
      <c r="D692" t="s">
        <v>8</v>
      </c>
      <c r="E692" t="s">
        <v>10</v>
      </c>
      <c r="F692" s="3">
        <v>1</v>
      </c>
      <c r="G692" s="3"/>
    </row>
    <row r="693" spans="1:7" x14ac:dyDescent="0.25">
      <c r="A693" t="s">
        <v>16</v>
      </c>
      <c r="B693">
        <v>2050</v>
      </c>
      <c r="C693" t="s">
        <v>7</v>
      </c>
      <c r="D693" t="s">
        <v>8</v>
      </c>
      <c r="E693" t="s">
        <v>11</v>
      </c>
      <c r="F693" s="3">
        <v>1.0053120928101715</v>
      </c>
      <c r="G693" s="3"/>
    </row>
    <row r="694" spans="1:7" x14ac:dyDescent="0.25">
      <c r="A694" t="s">
        <v>16</v>
      </c>
      <c r="B694">
        <v>2050</v>
      </c>
      <c r="C694" t="s">
        <v>7</v>
      </c>
      <c r="D694" t="s">
        <v>12</v>
      </c>
      <c r="E694" t="s">
        <v>9</v>
      </c>
      <c r="F694" s="3">
        <v>1.0158547406177889</v>
      </c>
      <c r="G694" s="3"/>
    </row>
    <row r="695" spans="1:7" x14ac:dyDescent="0.25">
      <c r="A695" t="s">
        <v>16</v>
      </c>
      <c r="B695">
        <v>2050</v>
      </c>
      <c r="C695" t="s">
        <v>7</v>
      </c>
      <c r="D695" t="s">
        <v>12</v>
      </c>
      <c r="E695" t="s">
        <v>10</v>
      </c>
      <c r="F695" s="3">
        <v>1.0047848691101033</v>
      </c>
      <c r="G695" s="3"/>
    </row>
    <row r="696" spans="1:7" x14ac:dyDescent="0.25">
      <c r="A696" t="s">
        <v>16</v>
      </c>
      <c r="B696">
        <v>2050</v>
      </c>
      <c r="C696" t="s">
        <v>7</v>
      </c>
      <c r="D696" t="s">
        <v>12</v>
      </c>
      <c r="E696" t="s">
        <v>11</v>
      </c>
      <c r="F696" s="3">
        <v>1.0092753157463279</v>
      </c>
      <c r="G696" s="3"/>
    </row>
    <row r="697" spans="1:7" x14ac:dyDescent="0.25">
      <c r="A697" t="s">
        <v>16</v>
      </c>
      <c r="B697">
        <v>2050</v>
      </c>
      <c r="C697" t="s">
        <v>7</v>
      </c>
      <c r="D697" t="s">
        <v>13</v>
      </c>
      <c r="E697" t="s">
        <v>9</v>
      </c>
      <c r="F697" s="3">
        <v>1.0156847642829907</v>
      </c>
      <c r="G697" s="3"/>
    </row>
    <row r="698" spans="1:7" x14ac:dyDescent="0.25">
      <c r="A698" t="s">
        <v>16</v>
      </c>
      <c r="B698">
        <v>2050</v>
      </c>
      <c r="C698" t="s">
        <v>7</v>
      </c>
      <c r="D698" t="s">
        <v>13</v>
      </c>
      <c r="E698" t="s">
        <v>10</v>
      </c>
      <c r="F698" s="3">
        <v>1.0047388122631626</v>
      </c>
      <c r="G698" s="3"/>
    </row>
    <row r="699" spans="1:7" x14ac:dyDescent="0.25">
      <c r="A699" t="s">
        <v>16</v>
      </c>
      <c r="B699">
        <v>2050</v>
      </c>
      <c r="C699" t="s">
        <v>7</v>
      </c>
      <c r="D699" t="s">
        <v>13</v>
      </c>
      <c r="E699" t="s">
        <v>11</v>
      </c>
      <c r="F699" s="3">
        <v>1.0091808848640174</v>
      </c>
      <c r="G699" s="3"/>
    </row>
    <row r="700" spans="1:7" x14ac:dyDescent="0.25">
      <c r="A700" t="s">
        <v>16</v>
      </c>
      <c r="B700">
        <v>2050</v>
      </c>
      <c r="C700" t="s">
        <v>7</v>
      </c>
      <c r="D700" t="s">
        <v>14</v>
      </c>
      <c r="E700" t="s">
        <v>9</v>
      </c>
      <c r="F700" s="3">
        <v>1.0120596421280725</v>
      </c>
      <c r="G700" s="3"/>
    </row>
    <row r="701" spans="1:7" x14ac:dyDescent="0.25">
      <c r="A701" t="s">
        <v>16</v>
      </c>
      <c r="B701">
        <v>2050</v>
      </c>
      <c r="C701" t="s">
        <v>7</v>
      </c>
      <c r="D701" t="s">
        <v>14</v>
      </c>
      <c r="E701" t="s">
        <v>10</v>
      </c>
      <c r="F701" s="3">
        <v>1.0036375261764166</v>
      </c>
      <c r="G701" s="3"/>
    </row>
    <row r="702" spans="1:7" x14ac:dyDescent="0.25">
      <c r="A702" t="s">
        <v>16</v>
      </c>
      <c r="B702">
        <v>2050</v>
      </c>
      <c r="C702" t="s">
        <v>7</v>
      </c>
      <c r="D702" t="s">
        <v>14</v>
      </c>
      <c r="E702" t="s">
        <v>11</v>
      </c>
      <c r="F702" s="3">
        <v>1.0071602167883063</v>
      </c>
      <c r="G702" s="3"/>
    </row>
    <row r="703" spans="1:7" x14ac:dyDescent="0.25">
      <c r="A703" t="s">
        <v>16</v>
      </c>
      <c r="B703">
        <v>2050</v>
      </c>
      <c r="C703" t="s">
        <v>7</v>
      </c>
      <c r="D703" t="s">
        <v>53</v>
      </c>
      <c r="E703" t="s">
        <v>9</v>
      </c>
      <c r="F703" s="3">
        <v>1.0137159413503023</v>
      </c>
      <c r="G703" s="3"/>
    </row>
    <row r="704" spans="1:7" x14ac:dyDescent="0.25">
      <c r="A704" t="s">
        <v>16</v>
      </c>
      <c r="B704">
        <v>2050</v>
      </c>
      <c r="C704" t="s">
        <v>7</v>
      </c>
      <c r="D704" t="s">
        <v>53</v>
      </c>
      <c r="E704" t="s">
        <v>10</v>
      </c>
      <c r="F704" s="3">
        <v>1.0041402580933472</v>
      </c>
      <c r="G704" s="3"/>
    </row>
    <row r="705" spans="1:7" x14ac:dyDescent="0.25">
      <c r="A705" t="s">
        <v>16</v>
      </c>
      <c r="B705">
        <v>2050</v>
      </c>
      <c r="C705" t="s">
        <v>7</v>
      </c>
      <c r="D705" t="s">
        <v>53</v>
      </c>
      <c r="E705" t="s">
        <v>11</v>
      </c>
      <c r="F705" s="3">
        <v>1.0080904455741324</v>
      </c>
      <c r="G705" s="3"/>
    </row>
    <row r="706" spans="1:7" x14ac:dyDescent="0.25">
      <c r="A706" t="s">
        <v>16</v>
      </c>
      <c r="B706">
        <v>2023</v>
      </c>
      <c r="C706" t="s">
        <v>17</v>
      </c>
      <c r="D706" t="s">
        <v>8</v>
      </c>
      <c r="E706" t="s">
        <v>9</v>
      </c>
      <c r="F706" s="3">
        <v>1.0041931965042568</v>
      </c>
      <c r="G706" s="3"/>
    </row>
    <row r="707" spans="1:7" x14ac:dyDescent="0.25">
      <c r="A707" t="s">
        <v>16</v>
      </c>
      <c r="B707">
        <v>2023</v>
      </c>
      <c r="C707" t="s">
        <v>17</v>
      </c>
      <c r="D707" t="s">
        <v>8</v>
      </c>
      <c r="E707" t="s">
        <v>18</v>
      </c>
      <c r="F707" s="3">
        <v>1.0118750052493906</v>
      </c>
      <c r="G707" s="3"/>
    </row>
    <row r="708" spans="1:7" x14ac:dyDescent="0.25">
      <c r="A708" t="s">
        <v>16</v>
      </c>
      <c r="B708">
        <v>2023</v>
      </c>
      <c r="C708" t="s">
        <v>17</v>
      </c>
      <c r="D708" t="s">
        <v>8</v>
      </c>
      <c r="E708" t="s">
        <v>10</v>
      </c>
      <c r="F708" s="3">
        <v>1.0092790346711054</v>
      </c>
      <c r="G708" s="3"/>
    </row>
    <row r="709" spans="1:7" x14ac:dyDescent="0.25">
      <c r="A709" t="s">
        <v>16</v>
      </c>
      <c r="B709">
        <v>2023</v>
      </c>
      <c r="C709" t="s">
        <v>17</v>
      </c>
      <c r="D709" t="s">
        <v>8</v>
      </c>
      <c r="E709" t="s">
        <v>11</v>
      </c>
      <c r="F709" s="3">
        <v>1.0164893257649426</v>
      </c>
      <c r="G709" s="3"/>
    </row>
    <row r="710" spans="1:7" x14ac:dyDescent="0.25">
      <c r="A710" t="s">
        <v>16</v>
      </c>
      <c r="B710">
        <v>2023</v>
      </c>
      <c r="C710" t="s">
        <v>17</v>
      </c>
      <c r="D710" t="s">
        <v>12</v>
      </c>
      <c r="E710" t="s">
        <v>9</v>
      </c>
      <c r="F710" s="3">
        <v>1.0041618763004256</v>
      </c>
      <c r="G710" s="3"/>
    </row>
    <row r="711" spans="1:7" x14ac:dyDescent="0.25">
      <c r="A711" t="s">
        <v>16</v>
      </c>
      <c r="B711">
        <v>2023</v>
      </c>
      <c r="C711" t="s">
        <v>17</v>
      </c>
      <c r="D711" t="s">
        <v>12</v>
      </c>
      <c r="E711" t="s">
        <v>18</v>
      </c>
      <c r="F711" s="3">
        <v>1.0117660742537415</v>
      </c>
      <c r="G711" s="3"/>
    </row>
    <row r="712" spans="1:7" x14ac:dyDescent="0.25">
      <c r="A712" t="s">
        <v>16</v>
      </c>
      <c r="B712">
        <v>2023</v>
      </c>
      <c r="C712" t="s">
        <v>17</v>
      </c>
      <c r="D712" t="s">
        <v>12</v>
      </c>
      <c r="E712" t="s">
        <v>10</v>
      </c>
      <c r="F712" s="3">
        <v>1.0092166737222432</v>
      </c>
      <c r="G712" s="3"/>
    </row>
    <row r="713" spans="1:7" x14ac:dyDescent="0.25">
      <c r="A713" t="s">
        <v>16</v>
      </c>
      <c r="B713">
        <v>2023</v>
      </c>
      <c r="C713" t="s">
        <v>17</v>
      </c>
      <c r="D713" t="s">
        <v>12</v>
      </c>
      <c r="E713" t="s">
        <v>11</v>
      </c>
      <c r="F713" s="3">
        <v>1.0164015885776378</v>
      </c>
      <c r="G713" s="3"/>
    </row>
    <row r="714" spans="1:7" x14ac:dyDescent="0.25">
      <c r="A714" t="s">
        <v>16</v>
      </c>
      <c r="B714">
        <v>2023</v>
      </c>
      <c r="C714" t="s">
        <v>17</v>
      </c>
      <c r="D714" t="s">
        <v>13</v>
      </c>
      <c r="E714" t="s">
        <v>9</v>
      </c>
      <c r="F714" s="3">
        <v>1.0044060679171694</v>
      </c>
      <c r="G714" s="3"/>
    </row>
    <row r="715" spans="1:7" x14ac:dyDescent="0.25">
      <c r="A715" t="s">
        <v>16</v>
      </c>
      <c r="B715">
        <v>2023</v>
      </c>
      <c r="C715" t="s">
        <v>17</v>
      </c>
      <c r="D715" t="s">
        <v>13</v>
      </c>
      <c r="E715" t="s">
        <v>18</v>
      </c>
      <c r="F715" s="3">
        <v>1.0126254110059707</v>
      </c>
      <c r="G715" s="3"/>
    </row>
    <row r="716" spans="1:7" x14ac:dyDescent="0.25">
      <c r="A716" t="s">
        <v>16</v>
      </c>
      <c r="B716">
        <v>2023</v>
      </c>
      <c r="C716" t="s">
        <v>17</v>
      </c>
      <c r="D716" t="s">
        <v>13</v>
      </c>
      <c r="E716" t="s">
        <v>10</v>
      </c>
      <c r="F716" s="3">
        <v>1.0097039213633152</v>
      </c>
      <c r="G716" s="3"/>
    </row>
    <row r="717" spans="1:7" x14ac:dyDescent="0.25">
      <c r="A717" t="s">
        <v>16</v>
      </c>
      <c r="B717">
        <v>2023</v>
      </c>
      <c r="C717" t="s">
        <v>17</v>
      </c>
      <c r="D717" t="s">
        <v>13</v>
      </c>
      <c r="E717" t="s">
        <v>11</v>
      </c>
      <c r="F717" s="3">
        <v>1.0170781763400143</v>
      </c>
      <c r="G717" s="3"/>
    </row>
    <row r="718" spans="1:7" x14ac:dyDescent="0.25">
      <c r="A718" t="s">
        <v>16</v>
      </c>
      <c r="B718">
        <v>2023</v>
      </c>
      <c r="C718" t="s">
        <v>17</v>
      </c>
      <c r="D718" t="s">
        <v>14</v>
      </c>
      <c r="E718" t="s">
        <v>9</v>
      </c>
      <c r="F718" s="3">
        <v>1.0029097819035671</v>
      </c>
      <c r="G718" s="3"/>
    </row>
    <row r="719" spans="1:7" x14ac:dyDescent="0.25">
      <c r="A719" t="s">
        <v>16</v>
      </c>
      <c r="B719">
        <v>2023</v>
      </c>
      <c r="C719" t="s">
        <v>17</v>
      </c>
      <c r="D719" t="s">
        <v>14</v>
      </c>
      <c r="E719" t="s">
        <v>18</v>
      </c>
      <c r="F719" s="3">
        <v>1.0076979756882698</v>
      </c>
      <c r="G719" s="3"/>
    </row>
    <row r="720" spans="1:7" x14ac:dyDescent="0.25">
      <c r="A720" t="s">
        <v>16</v>
      </c>
      <c r="B720">
        <v>2023</v>
      </c>
      <c r="C720" t="s">
        <v>17</v>
      </c>
      <c r="D720" t="s">
        <v>14</v>
      </c>
      <c r="E720" t="s">
        <v>10</v>
      </c>
      <c r="F720" s="3">
        <v>1.0066322349980039</v>
      </c>
      <c r="G720" s="3"/>
    </row>
    <row r="721" spans="1:7" x14ac:dyDescent="0.25">
      <c r="A721" t="s">
        <v>16</v>
      </c>
      <c r="B721">
        <v>2023</v>
      </c>
      <c r="C721" t="s">
        <v>17</v>
      </c>
      <c r="D721" t="s">
        <v>14</v>
      </c>
      <c r="E721" t="s">
        <v>11</v>
      </c>
      <c r="F721" s="3">
        <v>1.0125439730453332</v>
      </c>
      <c r="G721" s="3"/>
    </row>
    <row r="722" spans="1:7" x14ac:dyDescent="0.25">
      <c r="A722" t="s">
        <v>16</v>
      </c>
      <c r="B722">
        <v>2023</v>
      </c>
      <c r="C722" t="s">
        <v>17</v>
      </c>
      <c r="D722" t="s">
        <v>53</v>
      </c>
      <c r="E722" t="s">
        <v>9</v>
      </c>
      <c r="F722" s="3">
        <v>1.0042400707597854</v>
      </c>
      <c r="G722" s="3"/>
    </row>
    <row r="723" spans="1:7" x14ac:dyDescent="0.25">
      <c r="A723" t="s">
        <v>16</v>
      </c>
      <c r="B723">
        <v>2023</v>
      </c>
      <c r="C723" t="s">
        <v>17</v>
      </c>
      <c r="D723" t="s">
        <v>53</v>
      </c>
      <c r="E723" t="s">
        <v>18</v>
      </c>
      <c r="F723" s="3">
        <v>1.0120387346215614</v>
      </c>
      <c r="G723" s="3"/>
    </row>
    <row r="724" spans="1:7" x14ac:dyDescent="0.25">
      <c r="A724" t="s">
        <v>16</v>
      </c>
      <c r="B724">
        <v>2023</v>
      </c>
      <c r="C724" t="s">
        <v>17</v>
      </c>
      <c r="D724" t="s">
        <v>53</v>
      </c>
      <c r="E724" t="s">
        <v>10</v>
      </c>
      <c r="F724" s="3">
        <v>1.0093735899742056</v>
      </c>
      <c r="G724" s="3"/>
    </row>
    <row r="725" spans="1:7" x14ac:dyDescent="0.25">
      <c r="A725" t="s">
        <v>16</v>
      </c>
      <c r="B725">
        <v>2023</v>
      </c>
      <c r="C725" t="s">
        <v>17</v>
      </c>
      <c r="D725" t="s">
        <v>53</v>
      </c>
      <c r="E725" t="s">
        <v>11</v>
      </c>
      <c r="F725" s="3">
        <v>1.0166209081526265</v>
      </c>
      <c r="G725" s="3"/>
    </row>
    <row r="726" spans="1:7" x14ac:dyDescent="0.25">
      <c r="A726" t="s">
        <v>16</v>
      </c>
      <c r="B726">
        <v>2034</v>
      </c>
      <c r="C726" t="s">
        <v>17</v>
      </c>
      <c r="D726" t="s">
        <v>8</v>
      </c>
      <c r="E726" t="s">
        <v>9</v>
      </c>
      <c r="F726" s="3">
        <v>1.0178559493587218</v>
      </c>
      <c r="G726" s="3"/>
    </row>
    <row r="727" spans="1:7" x14ac:dyDescent="0.25">
      <c r="A727" t="s">
        <v>16</v>
      </c>
      <c r="B727">
        <v>2034</v>
      </c>
      <c r="C727" t="s">
        <v>17</v>
      </c>
      <c r="D727" t="s">
        <v>8</v>
      </c>
      <c r="E727" t="s">
        <v>18</v>
      </c>
      <c r="F727" s="3">
        <v>1.0108711289835646</v>
      </c>
      <c r="G727" s="3"/>
    </row>
    <row r="728" spans="1:7" x14ac:dyDescent="0.25">
      <c r="A728" t="s">
        <v>16</v>
      </c>
      <c r="B728">
        <v>2034</v>
      </c>
      <c r="C728" t="s">
        <v>17</v>
      </c>
      <c r="D728" t="s">
        <v>8</v>
      </c>
      <c r="E728" t="s">
        <v>10</v>
      </c>
      <c r="F728" s="3">
        <v>1.0093086901096024</v>
      </c>
      <c r="G728" s="3"/>
    </row>
    <row r="729" spans="1:7" x14ac:dyDescent="0.25">
      <c r="A729" t="s">
        <v>16</v>
      </c>
      <c r="B729">
        <v>2034</v>
      </c>
      <c r="C729" t="s">
        <v>17</v>
      </c>
      <c r="D729" t="s">
        <v>8</v>
      </c>
      <c r="E729" t="s">
        <v>11</v>
      </c>
      <c r="F729" s="3">
        <v>1.0165936730302874</v>
      </c>
      <c r="G729" s="3"/>
    </row>
    <row r="730" spans="1:7" x14ac:dyDescent="0.25">
      <c r="A730" t="s">
        <v>16</v>
      </c>
      <c r="B730">
        <v>2034</v>
      </c>
      <c r="C730" t="s">
        <v>17</v>
      </c>
      <c r="D730" t="s">
        <v>12</v>
      </c>
      <c r="E730" t="s">
        <v>9</v>
      </c>
      <c r="F730" s="3">
        <v>1.0177161351629715</v>
      </c>
      <c r="G730" s="3"/>
    </row>
    <row r="731" spans="1:7" x14ac:dyDescent="0.25">
      <c r="A731" t="s">
        <v>16</v>
      </c>
      <c r="B731">
        <v>2034</v>
      </c>
      <c r="C731" t="s">
        <v>17</v>
      </c>
      <c r="D731" t="s">
        <v>12</v>
      </c>
      <c r="E731" t="s">
        <v>18</v>
      </c>
      <c r="F731" s="3">
        <v>1.0107728585851152</v>
      </c>
      <c r="G731" s="3"/>
    </row>
    <row r="732" spans="1:7" x14ac:dyDescent="0.25">
      <c r="A732" t="s">
        <v>16</v>
      </c>
      <c r="B732">
        <v>2034</v>
      </c>
      <c r="C732" t="s">
        <v>17</v>
      </c>
      <c r="D732" t="s">
        <v>12</v>
      </c>
      <c r="E732" t="s">
        <v>10</v>
      </c>
      <c r="F732" s="3">
        <v>1.0092410873187045</v>
      </c>
      <c r="G732" s="3"/>
    </row>
    <row r="733" spans="1:7" x14ac:dyDescent="0.25">
      <c r="A733" t="s">
        <v>16</v>
      </c>
      <c r="B733">
        <v>2034</v>
      </c>
      <c r="C733" t="s">
        <v>17</v>
      </c>
      <c r="D733" t="s">
        <v>12</v>
      </c>
      <c r="E733" t="s">
        <v>11</v>
      </c>
      <c r="F733" s="3">
        <v>1.0164877828214005</v>
      </c>
      <c r="G733" s="3"/>
    </row>
    <row r="734" spans="1:7" x14ac:dyDescent="0.25">
      <c r="A734" t="s">
        <v>16</v>
      </c>
      <c r="B734">
        <v>2034</v>
      </c>
      <c r="C734" t="s">
        <v>17</v>
      </c>
      <c r="D734" t="s">
        <v>13</v>
      </c>
      <c r="E734" t="s">
        <v>9</v>
      </c>
      <c r="F734" s="3">
        <v>1.0188089139105294</v>
      </c>
      <c r="G734" s="3"/>
    </row>
    <row r="735" spans="1:7" x14ac:dyDescent="0.25">
      <c r="A735" t="s">
        <v>16</v>
      </c>
      <c r="B735">
        <v>2034</v>
      </c>
      <c r="C735" t="s">
        <v>17</v>
      </c>
      <c r="D735" t="s">
        <v>13</v>
      </c>
      <c r="E735" t="s">
        <v>18</v>
      </c>
      <c r="F735" s="3">
        <v>1.0115473767392751</v>
      </c>
      <c r="G735" s="3"/>
    </row>
    <row r="736" spans="1:7" x14ac:dyDescent="0.25">
      <c r="A736" t="s">
        <v>16</v>
      </c>
      <c r="B736">
        <v>2034</v>
      </c>
      <c r="C736" t="s">
        <v>17</v>
      </c>
      <c r="D736" t="s">
        <v>13</v>
      </c>
      <c r="E736" t="s">
        <v>10</v>
      </c>
      <c r="F736" s="3">
        <v>1.0097704300620434</v>
      </c>
      <c r="G736" s="3"/>
    </row>
    <row r="737" spans="1:7" x14ac:dyDescent="0.25">
      <c r="A737" t="s">
        <v>16</v>
      </c>
      <c r="B737">
        <v>2034</v>
      </c>
      <c r="C737" t="s">
        <v>17</v>
      </c>
      <c r="D737" t="s">
        <v>13</v>
      </c>
      <c r="E737" t="s">
        <v>11</v>
      </c>
      <c r="F737" s="3">
        <v>1.0173102497537005</v>
      </c>
      <c r="G737" s="3"/>
    </row>
    <row r="738" spans="1:7" x14ac:dyDescent="0.25">
      <c r="A738" t="s">
        <v>16</v>
      </c>
      <c r="B738">
        <v>2034</v>
      </c>
      <c r="C738" t="s">
        <v>17</v>
      </c>
      <c r="D738" t="s">
        <v>14</v>
      </c>
      <c r="E738" t="s">
        <v>9</v>
      </c>
      <c r="F738" s="3">
        <v>1.0122088256573842</v>
      </c>
      <c r="G738" s="3"/>
    </row>
    <row r="739" spans="1:7" x14ac:dyDescent="0.25">
      <c r="A739" t="s">
        <v>16</v>
      </c>
      <c r="B739">
        <v>2034</v>
      </c>
      <c r="C739" t="s">
        <v>17</v>
      </c>
      <c r="D739" t="s">
        <v>14</v>
      </c>
      <c r="E739" t="s">
        <v>18</v>
      </c>
      <c r="F739" s="3">
        <v>1.0070838219177198</v>
      </c>
      <c r="G739" s="3"/>
    </row>
    <row r="740" spans="1:7" x14ac:dyDescent="0.25">
      <c r="A740" t="s">
        <v>16</v>
      </c>
      <c r="B740">
        <v>2034</v>
      </c>
      <c r="C740" t="s">
        <v>17</v>
      </c>
      <c r="D740" t="s">
        <v>14</v>
      </c>
      <c r="E740" t="s">
        <v>10</v>
      </c>
      <c r="F740" s="3">
        <v>1.0065055016002717</v>
      </c>
      <c r="G740" s="3"/>
    </row>
    <row r="741" spans="1:7" x14ac:dyDescent="0.25">
      <c r="A741" t="s">
        <v>16</v>
      </c>
      <c r="B741">
        <v>2034</v>
      </c>
      <c r="C741" t="s">
        <v>17</v>
      </c>
      <c r="D741" t="s">
        <v>14</v>
      </c>
      <c r="E741" t="s">
        <v>11</v>
      </c>
      <c r="F741" s="3">
        <v>1.0120452390150019</v>
      </c>
      <c r="G741" s="3"/>
    </row>
    <row r="742" spans="1:7" x14ac:dyDescent="0.25">
      <c r="A742" t="s">
        <v>16</v>
      </c>
      <c r="B742">
        <v>2034</v>
      </c>
      <c r="C742" t="s">
        <v>17</v>
      </c>
      <c r="D742" t="s">
        <v>53</v>
      </c>
      <c r="E742" t="s">
        <v>9</v>
      </c>
      <c r="F742" s="3">
        <v>1.0180653873328906</v>
      </c>
      <c r="G742" s="3"/>
    </row>
    <row r="743" spans="1:7" x14ac:dyDescent="0.25">
      <c r="A743" t="s">
        <v>16</v>
      </c>
      <c r="B743">
        <v>2034</v>
      </c>
      <c r="C743" t="s">
        <v>17</v>
      </c>
      <c r="D743" t="s">
        <v>53</v>
      </c>
      <c r="E743" t="s">
        <v>18</v>
      </c>
      <c r="F743" s="3">
        <v>1.0110187850643273</v>
      </c>
      <c r="G743" s="3"/>
    </row>
    <row r="744" spans="1:7" x14ac:dyDescent="0.25">
      <c r="A744" t="s">
        <v>16</v>
      </c>
      <c r="B744">
        <v>2034</v>
      </c>
      <c r="C744" t="s">
        <v>17</v>
      </c>
      <c r="D744" t="s">
        <v>53</v>
      </c>
      <c r="E744" t="s">
        <v>10</v>
      </c>
      <c r="F744" s="3">
        <v>1.0094110041571775</v>
      </c>
      <c r="G744" s="3"/>
    </row>
    <row r="745" spans="1:7" x14ac:dyDescent="0.25">
      <c r="A745" t="s">
        <v>16</v>
      </c>
      <c r="B745">
        <v>2034</v>
      </c>
      <c r="C745" t="s">
        <v>17</v>
      </c>
      <c r="D745" t="s">
        <v>53</v>
      </c>
      <c r="E745" t="s">
        <v>11</v>
      </c>
      <c r="F745" s="3">
        <v>1.0167529044908412</v>
      </c>
      <c r="G745" s="3"/>
    </row>
    <row r="746" spans="1:7" x14ac:dyDescent="0.25">
      <c r="A746" t="s">
        <v>16</v>
      </c>
      <c r="B746">
        <v>2050</v>
      </c>
      <c r="C746" t="s">
        <v>17</v>
      </c>
      <c r="D746" t="s">
        <v>8</v>
      </c>
      <c r="E746" t="s">
        <v>9</v>
      </c>
      <c r="F746" s="3">
        <v>1.0314408464477891</v>
      </c>
      <c r="G746" s="3"/>
    </row>
    <row r="747" spans="1:7" x14ac:dyDescent="0.25">
      <c r="A747" t="s">
        <v>16</v>
      </c>
      <c r="B747">
        <v>2050</v>
      </c>
      <c r="C747" t="s">
        <v>17</v>
      </c>
      <c r="D747" t="s">
        <v>8</v>
      </c>
      <c r="E747" t="s">
        <v>18</v>
      </c>
      <c r="F747" s="3">
        <v>1.0090625835218237</v>
      </c>
      <c r="G747" s="3"/>
    </row>
    <row r="748" spans="1:7" x14ac:dyDescent="0.25">
      <c r="A748" t="s">
        <v>16</v>
      </c>
      <c r="B748">
        <v>2050</v>
      </c>
      <c r="C748" t="s">
        <v>17</v>
      </c>
      <c r="D748" t="s">
        <v>8</v>
      </c>
      <c r="E748" t="s">
        <v>10</v>
      </c>
      <c r="F748" s="3">
        <v>1.0088217875674168</v>
      </c>
      <c r="G748" s="3"/>
    </row>
    <row r="749" spans="1:7" x14ac:dyDescent="0.25">
      <c r="A749" t="s">
        <v>16</v>
      </c>
      <c r="B749">
        <v>2050</v>
      </c>
      <c r="C749" t="s">
        <v>17</v>
      </c>
      <c r="D749" t="s">
        <v>8</v>
      </c>
      <c r="E749" t="s">
        <v>11</v>
      </c>
      <c r="F749" s="3">
        <v>1.0155763165435689</v>
      </c>
      <c r="G749" s="3"/>
    </row>
    <row r="750" spans="1:7" x14ac:dyDescent="0.25">
      <c r="A750" t="s">
        <v>16</v>
      </c>
      <c r="B750">
        <v>2050</v>
      </c>
      <c r="C750" t="s">
        <v>17</v>
      </c>
      <c r="D750" t="s">
        <v>12</v>
      </c>
      <c r="E750" t="s">
        <v>9</v>
      </c>
      <c r="F750" s="3">
        <v>1.0311883455840931</v>
      </c>
      <c r="G750" s="3"/>
    </row>
    <row r="751" spans="1:7" x14ac:dyDescent="0.25">
      <c r="A751" t="s">
        <v>16</v>
      </c>
      <c r="B751">
        <v>2050</v>
      </c>
      <c r="C751" t="s">
        <v>17</v>
      </c>
      <c r="D751" t="s">
        <v>12</v>
      </c>
      <c r="E751" t="s">
        <v>18</v>
      </c>
      <c r="F751" s="3">
        <v>1.0089790531368923</v>
      </c>
      <c r="G751" s="3"/>
    </row>
    <row r="752" spans="1:7" x14ac:dyDescent="0.25">
      <c r="A752" t="s">
        <v>16</v>
      </c>
      <c r="B752">
        <v>2050</v>
      </c>
      <c r="C752" t="s">
        <v>17</v>
      </c>
      <c r="D752" t="s">
        <v>12</v>
      </c>
      <c r="E752" t="s">
        <v>10</v>
      </c>
      <c r="F752" s="3">
        <v>1.0087474681575572</v>
      </c>
      <c r="G752" s="3"/>
    </row>
    <row r="753" spans="1:7" x14ac:dyDescent="0.25">
      <c r="A753" t="s">
        <v>16</v>
      </c>
      <c r="B753">
        <v>2050</v>
      </c>
      <c r="C753" t="s">
        <v>17</v>
      </c>
      <c r="D753" t="s">
        <v>12</v>
      </c>
      <c r="E753" t="s">
        <v>11</v>
      </c>
      <c r="F753" s="3">
        <v>1.0154404923593299</v>
      </c>
      <c r="G753" s="3"/>
    </row>
    <row r="754" spans="1:7" x14ac:dyDescent="0.25">
      <c r="A754" t="s">
        <v>16</v>
      </c>
      <c r="B754">
        <v>2050</v>
      </c>
      <c r="C754" t="s">
        <v>17</v>
      </c>
      <c r="D754" t="s">
        <v>13</v>
      </c>
      <c r="E754" t="s">
        <v>9</v>
      </c>
      <c r="F754" s="3">
        <v>1.0331646036143496</v>
      </c>
      <c r="G754" s="3"/>
    </row>
    <row r="755" spans="1:7" x14ac:dyDescent="0.25">
      <c r="A755" t="s">
        <v>16</v>
      </c>
      <c r="B755">
        <v>2050</v>
      </c>
      <c r="C755" t="s">
        <v>17</v>
      </c>
      <c r="D755" t="s">
        <v>13</v>
      </c>
      <c r="E755" t="s">
        <v>18</v>
      </c>
      <c r="F755" s="3">
        <v>1.0096382104321062</v>
      </c>
      <c r="G755" s="3"/>
    </row>
    <row r="756" spans="1:7" x14ac:dyDescent="0.25">
      <c r="A756" t="s">
        <v>16</v>
      </c>
      <c r="B756">
        <v>2050</v>
      </c>
      <c r="C756" t="s">
        <v>17</v>
      </c>
      <c r="D756" t="s">
        <v>13</v>
      </c>
      <c r="E756" t="s">
        <v>10</v>
      </c>
      <c r="F756" s="3">
        <v>1.0093328872234832</v>
      </c>
      <c r="G756" s="3"/>
    </row>
    <row r="757" spans="1:7" x14ac:dyDescent="0.25">
      <c r="A757" t="s">
        <v>16</v>
      </c>
      <c r="B757">
        <v>2050</v>
      </c>
      <c r="C757" t="s">
        <v>17</v>
      </c>
      <c r="D757" t="s">
        <v>13</v>
      </c>
      <c r="E757" t="s">
        <v>11</v>
      </c>
      <c r="F757" s="3">
        <v>1.0165125768888763</v>
      </c>
      <c r="G757" s="3"/>
    </row>
    <row r="758" spans="1:7" x14ac:dyDescent="0.25">
      <c r="A758" t="s">
        <v>16</v>
      </c>
      <c r="B758">
        <v>2050</v>
      </c>
      <c r="C758" t="s">
        <v>17</v>
      </c>
      <c r="D758" t="s">
        <v>14</v>
      </c>
      <c r="E758" t="s">
        <v>9</v>
      </c>
      <c r="F758" s="3">
        <v>1.0213229703232374</v>
      </c>
      <c r="G758" s="3"/>
    </row>
    <row r="759" spans="1:7" x14ac:dyDescent="0.25">
      <c r="A759" t="s">
        <v>16</v>
      </c>
      <c r="B759">
        <v>2050</v>
      </c>
      <c r="C759" t="s">
        <v>17</v>
      </c>
      <c r="D759" t="s">
        <v>14</v>
      </c>
      <c r="E759" t="s">
        <v>18</v>
      </c>
      <c r="F759" s="3">
        <v>1.0058648514021327</v>
      </c>
      <c r="G759" s="3"/>
    </row>
    <row r="760" spans="1:7" x14ac:dyDescent="0.25">
      <c r="A760" t="s">
        <v>16</v>
      </c>
      <c r="B760">
        <v>2050</v>
      </c>
      <c r="C760" t="s">
        <v>17</v>
      </c>
      <c r="D760" t="s">
        <v>14</v>
      </c>
      <c r="E760" t="s">
        <v>10</v>
      </c>
      <c r="F760" s="3">
        <v>1.0058829704467913</v>
      </c>
      <c r="G760" s="3"/>
    </row>
    <row r="761" spans="1:7" x14ac:dyDescent="0.25">
      <c r="A761" t="s">
        <v>16</v>
      </c>
      <c r="B761">
        <v>2050</v>
      </c>
      <c r="C761" t="s">
        <v>17</v>
      </c>
      <c r="D761" t="s">
        <v>14</v>
      </c>
      <c r="E761" t="s">
        <v>11</v>
      </c>
      <c r="F761" s="3">
        <v>1.0102664050263517</v>
      </c>
      <c r="G761" s="3"/>
    </row>
    <row r="762" spans="1:7" x14ac:dyDescent="0.25">
      <c r="A762" t="s">
        <v>16</v>
      </c>
      <c r="B762">
        <v>2050</v>
      </c>
      <c r="C762" t="s">
        <v>17</v>
      </c>
      <c r="D762" t="s">
        <v>53</v>
      </c>
      <c r="E762" t="s">
        <v>9</v>
      </c>
      <c r="F762" s="3">
        <v>1.0318192774524944</v>
      </c>
      <c r="G762" s="3"/>
    </row>
    <row r="763" spans="1:7" x14ac:dyDescent="0.25">
      <c r="A763" t="s">
        <v>16</v>
      </c>
      <c r="B763">
        <v>2050</v>
      </c>
      <c r="C763" t="s">
        <v>17</v>
      </c>
      <c r="D763" t="s">
        <v>53</v>
      </c>
      <c r="E763" t="s">
        <v>18</v>
      </c>
      <c r="F763" s="3">
        <v>1.0091881482913909</v>
      </c>
      <c r="G763" s="3"/>
    </row>
    <row r="764" spans="1:7" x14ac:dyDescent="0.25">
      <c r="A764" t="s">
        <v>16</v>
      </c>
      <c r="B764">
        <v>2050</v>
      </c>
      <c r="C764" t="s">
        <v>17</v>
      </c>
      <c r="D764" t="s">
        <v>53</v>
      </c>
      <c r="E764" t="s">
        <v>10</v>
      </c>
      <c r="F764" s="3">
        <v>1.0089341249526491</v>
      </c>
      <c r="G764" s="3"/>
    </row>
    <row r="765" spans="1:7" x14ac:dyDescent="0.25">
      <c r="A765" t="s">
        <v>16</v>
      </c>
      <c r="B765">
        <v>2050</v>
      </c>
      <c r="C765" t="s">
        <v>17</v>
      </c>
      <c r="D765" t="s">
        <v>53</v>
      </c>
      <c r="E765" t="s">
        <v>11</v>
      </c>
      <c r="F765" s="3">
        <v>1.0157817716477346</v>
      </c>
      <c r="G765" s="3"/>
    </row>
    <row r="766" spans="1:7" x14ac:dyDescent="0.25">
      <c r="A766" t="s">
        <v>16</v>
      </c>
      <c r="B766">
        <v>2023</v>
      </c>
      <c r="C766" t="s">
        <v>19</v>
      </c>
      <c r="D766" t="s">
        <v>8</v>
      </c>
      <c r="E766" t="s">
        <v>55</v>
      </c>
      <c r="F766" s="3">
        <v>1.007903765988031</v>
      </c>
      <c r="G766" s="3"/>
    </row>
    <row r="767" spans="1:7" x14ac:dyDescent="0.25">
      <c r="A767" t="s">
        <v>16</v>
      </c>
      <c r="B767">
        <v>2023</v>
      </c>
      <c r="C767" t="s">
        <v>19</v>
      </c>
      <c r="D767" t="s">
        <v>8</v>
      </c>
      <c r="E767" t="s">
        <v>54</v>
      </c>
      <c r="F767" s="3">
        <v>1.0114839611671504</v>
      </c>
      <c r="G767" s="3"/>
    </row>
    <row r="768" spans="1:7" x14ac:dyDescent="0.25">
      <c r="A768" t="s">
        <v>16</v>
      </c>
      <c r="B768">
        <v>2023</v>
      </c>
      <c r="C768" t="s">
        <v>19</v>
      </c>
      <c r="D768" t="s">
        <v>8</v>
      </c>
      <c r="E768" t="s">
        <v>11</v>
      </c>
      <c r="F768" s="3">
        <v>1.0439932102839258</v>
      </c>
      <c r="G768" s="3"/>
    </row>
    <row r="769" spans="1:7" x14ac:dyDescent="0.25">
      <c r="A769" t="s">
        <v>16</v>
      </c>
      <c r="B769">
        <v>2023</v>
      </c>
      <c r="C769" t="s">
        <v>19</v>
      </c>
      <c r="D769" t="s">
        <v>8</v>
      </c>
      <c r="E769" t="s">
        <v>20</v>
      </c>
      <c r="F769" s="3">
        <v>1.0539573026231246</v>
      </c>
      <c r="G769" s="3"/>
    </row>
    <row r="770" spans="1:7" x14ac:dyDescent="0.25">
      <c r="A770" t="s">
        <v>16</v>
      </c>
      <c r="B770">
        <v>2023</v>
      </c>
      <c r="C770" t="s">
        <v>19</v>
      </c>
      <c r="D770" t="s">
        <v>8</v>
      </c>
      <c r="E770" t="s">
        <v>21</v>
      </c>
      <c r="F770" s="3">
        <v>1.0335137230971052</v>
      </c>
      <c r="G770" s="3"/>
    </row>
    <row r="771" spans="1:7" x14ac:dyDescent="0.25">
      <c r="A771" t="s">
        <v>16</v>
      </c>
      <c r="B771">
        <v>2023</v>
      </c>
      <c r="C771" t="s">
        <v>19</v>
      </c>
      <c r="D771" t="s">
        <v>13</v>
      </c>
      <c r="E771" t="s">
        <v>55</v>
      </c>
      <c r="F771" s="3">
        <v>1.0073230543854415</v>
      </c>
      <c r="G771" s="3"/>
    </row>
    <row r="772" spans="1:7" x14ac:dyDescent="0.25">
      <c r="A772" t="s">
        <v>16</v>
      </c>
      <c r="B772">
        <v>2023</v>
      </c>
      <c r="C772" t="s">
        <v>19</v>
      </c>
      <c r="D772" t="s">
        <v>13</v>
      </c>
      <c r="E772" t="s">
        <v>54</v>
      </c>
      <c r="F772" s="3">
        <v>1.0109199502092687</v>
      </c>
      <c r="G772" s="3"/>
    </row>
    <row r="773" spans="1:7" x14ac:dyDescent="0.25">
      <c r="A773" t="s">
        <v>16</v>
      </c>
      <c r="B773">
        <v>2023</v>
      </c>
      <c r="C773" t="s">
        <v>19</v>
      </c>
      <c r="D773" t="s">
        <v>13</v>
      </c>
      <c r="E773" t="s">
        <v>11</v>
      </c>
      <c r="F773" s="3">
        <v>1.0429139451555589</v>
      </c>
      <c r="G773" s="3"/>
    </row>
    <row r="774" spans="1:7" x14ac:dyDescent="0.25">
      <c r="A774" t="s">
        <v>16</v>
      </c>
      <c r="B774">
        <v>2023</v>
      </c>
      <c r="C774" t="s">
        <v>19</v>
      </c>
      <c r="D774" t="s">
        <v>13</v>
      </c>
      <c r="E774" t="s">
        <v>20</v>
      </c>
      <c r="F774" s="3">
        <v>1.0525231917888074</v>
      </c>
      <c r="G774" s="3"/>
    </row>
    <row r="775" spans="1:7" x14ac:dyDescent="0.25">
      <c r="A775" t="s">
        <v>16</v>
      </c>
      <c r="B775">
        <v>2023</v>
      </c>
      <c r="C775" t="s">
        <v>19</v>
      </c>
      <c r="D775" t="s">
        <v>13</v>
      </c>
      <c r="E775" t="s">
        <v>21</v>
      </c>
      <c r="F775" s="3">
        <v>1.0330538911598923</v>
      </c>
      <c r="G775" s="3"/>
    </row>
    <row r="776" spans="1:7" x14ac:dyDescent="0.25">
      <c r="A776" t="s">
        <v>16</v>
      </c>
      <c r="B776">
        <v>2023</v>
      </c>
      <c r="C776" t="s">
        <v>19</v>
      </c>
      <c r="D776" t="s">
        <v>14</v>
      </c>
      <c r="E776" t="s">
        <v>55</v>
      </c>
      <c r="F776" s="3">
        <v>1.0079059866817959</v>
      </c>
      <c r="G776" s="3"/>
    </row>
    <row r="777" spans="1:7" x14ac:dyDescent="0.25">
      <c r="A777" t="s">
        <v>16</v>
      </c>
      <c r="B777">
        <v>2023</v>
      </c>
      <c r="C777" t="s">
        <v>19</v>
      </c>
      <c r="D777" t="s">
        <v>14</v>
      </c>
      <c r="E777" t="s">
        <v>54</v>
      </c>
      <c r="F777" s="3">
        <v>1.0114860625365856</v>
      </c>
      <c r="G777" s="3"/>
    </row>
    <row r="778" spans="1:7" x14ac:dyDescent="0.25">
      <c r="A778" t="s">
        <v>16</v>
      </c>
      <c r="B778">
        <v>2023</v>
      </c>
      <c r="C778" t="s">
        <v>19</v>
      </c>
      <c r="D778" t="s">
        <v>14</v>
      </c>
      <c r="E778" t="s">
        <v>11</v>
      </c>
      <c r="F778" s="3">
        <v>1.0439979226043763</v>
      </c>
      <c r="G778" s="3"/>
    </row>
    <row r="779" spans="1:7" x14ac:dyDescent="0.25">
      <c r="A779" t="s">
        <v>16</v>
      </c>
      <c r="B779">
        <v>2023</v>
      </c>
      <c r="C779" t="s">
        <v>19</v>
      </c>
      <c r="D779" t="s">
        <v>14</v>
      </c>
      <c r="E779" t="s">
        <v>20</v>
      </c>
      <c r="F779" s="3">
        <v>1.0539633661297994</v>
      </c>
      <c r="G779" s="3"/>
    </row>
    <row r="780" spans="1:7" x14ac:dyDescent="0.25">
      <c r="A780" t="s">
        <v>16</v>
      </c>
      <c r="B780">
        <v>2023</v>
      </c>
      <c r="C780" t="s">
        <v>19</v>
      </c>
      <c r="D780" t="s">
        <v>14</v>
      </c>
      <c r="E780" t="s">
        <v>21</v>
      </c>
      <c r="F780" s="3">
        <v>1.0335155081214094</v>
      </c>
      <c r="G780" s="3"/>
    </row>
    <row r="781" spans="1:7" x14ac:dyDescent="0.25">
      <c r="A781" t="s">
        <v>16</v>
      </c>
      <c r="B781">
        <v>2023</v>
      </c>
      <c r="C781" t="s">
        <v>19</v>
      </c>
      <c r="D781" t="s">
        <v>53</v>
      </c>
      <c r="E781" t="s">
        <v>55</v>
      </c>
      <c r="F781" s="3">
        <v>1.0079098068194479</v>
      </c>
      <c r="G781" s="3"/>
    </row>
    <row r="782" spans="1:7" x14ac:dyDescent="0.25">
      <c r="A782" t="s">
        <v>16</v>
      </c>
      <c r="B782">
        <v>2023</v>
      </c>
      <c r="C782" t="s">
        <v>19</v>
      </c>
      <c r="D782" t="s">
        <v>53</v>
      </c>
      <c r="E782" t="s">
        <v>54</v>
      </c>
      <c r="F782" s="3">
        <v>1.0114896764440671</v>
      </c>
      <c r="G782" s="3"/>
    </row>
    <row r="783" spans="1:7" x14ac:dyDescent="0.25">
      <c r="A783" t="s">
        <v>16</v>
      </c>
      <c r="B783">
        <v>2023</v>
      </c>
      <c r="C783" t="s">
        <v>19</v>
      </c>
      <c r="D783" t="s">
        <v>53</v>
      </c>
      <c r="E783" t="s">
        <v>11</v>
      </c>
      <c r="F783" s="3">
        <v>1.0440038184559426</v>
      </c>
      <c r="G783" s="3"/>
    </row>
    <row r="784" spans="1:7" x14ac:dyDescent="0.25">
      <c r="A784" t="s">
        <v>16</v>
      </c>
      <c r="B784">
        <v>2023</v>
      </c>
      <c r="C784" t="s">
        <v>19</v>
      </c>
      <c r="D784" t="s">
        <v>53</v>
      </c>
      <c r="E784" t="s">
        <v>20</v>
      </c>
      <c r="F784" s="3">
        <v>1.0539714422948396</v>
      </c>
      <c r="G784" s="3"/>
    </row>
    <row r="785" spans="1:7" x14ac:dyDescent="0.25">
      <c r="A785" t="s">
        <v>16</v>
      </c>
      <c r="B785">
        <v>2034</v>
      </c>
      <c r="C785" t="s">
        <v>19</v>
      </c>
      <c r="D785" t="s">
        <v>8</v>
      </c>
      <c r="E785" t="s">
        <v>55</v>
      </c>
      <c r="F785" s="3">
        <v>1.0352053456525834</v>
      </c>
      <c r="G785" s="3"/>
    </row>
    <row r="786" spans="1:7" x14ac:dyDescent="0.25">
      <c r="A786" t="s">
        <v>16</v>
      </c>
      <c r="B786">
        <v>2034</v>
      </c>
      <c r="C786" t="s">
        <v>19</v>
      </c>
      <c r="D786" t="s">
        <v>8</v>
      </c>
      <c r="E786" t="s">
        <v>54</v>
      </c>
      <c r="F786" s="3">
        <v>1.0537744433707112</v>
      </c>
      <c r="G786" s="3"/>
    </row>
    <row r="787" spans="1:7" x14ac:dyDescent="0.25">
      <c r="A787" t="s">
        <v>16</v>
      </c>
      <c r="B787">
        <v>2034</v>
      </c>
      <c r="C787" t="s">
        <v>19</v>
      </c>
      <c r="D787" t="s">
        <v>8</v>
      </c>
      <c r="E787" t="s">
        <v>11</v>
      </c>
      <c r="F787" s="3">
        <v>1.0446814151892905</v>
      </c>
      <c r="G787" s="3"/>
    </row>
    <row r="788" spans="1:7" x14ac:dyDescent="0.25">
      <c r="A788" t="s">
        <v>16</v>
      </c>
      <c r="B788">
        <v>2034</v>
      </c>
      <c r="C788" t="s">
        <v>19</v>
      </c>
      <c r="D788" t="s">
        <v>8</v>
      </c>
      <c r="E788" t="s">
        <v>20</v>
      </c>
      <c r="F788" s="3">
        <v>1.0514683435102785</v>
      </c>
      <c r="G788" s="3"/>
    </row>
    <row r="789" spans="1:7" x14ac:dyDescent="0.25">
      <c r="A789" t="s">
        <v>16</v>
      </c>
      <c r="B789">
        <v>2034</v>
      </c>
      <c r="C789" t="s">
        <v>19</v>
      </c>
      <c r="D789" t="s">
        <v>8</v>
      </c>
      <c r="E789" t="s">
        <v>21</v>
      </c>
      <c r="F789" s="3">
        <v>1.0435164725581272</v>
      </c>
      <c r="G789" s="3"/>
    </row>
    <row r="790" spans="1:7" x14ac:dyDescent="0.25">
      <c r="A790" t="s">
        <v>16</v>
      </c>
      <c r="B790">
        <v>2034</v>
      </c>
      <c r="C790" t="s">
        <v>19</v>
      </c>
      <c r="D790" t="s">
        <v>13</v>
      </c>
      <c r="E790" t="s">
        <v>55</v>
      </c>
      <c r="F790" s="3">
        <v>1.0323682152528169</v>
      </c>
      <c r="G790" s="3"/>
    </row>
    <row r="791" spans="1:7" x14ac:dyDescent="0.25">
      <c r="A791" t="s">
        <v>16</v>
      </c>
      <c r="B791">
        <v>2034</v>
      </c>
      <c r="C791" t="s">
        <v>19</v>
      </c>
      <c r="D791" t="s">
        <v>13</v>
      </c>
      <c r="E791" t="s">
        <v>54</v>
      </c>
      <c r="F791" s="3">
        <v>1.0507298292781448</v>
      </c>
      <c r="G791" s="3"/>
    </row>
    <row r="792" spans="1:7" x14ac:dyDescent="0.25">
      <c r="A792" t="s">
        <v>16</v>
      </c>
      <c r="B792">
        <v>2034</v>
      </c>
      <c r="C792" t="s">
        <v>19</v>
      </c>
      <c r="D792" t="s">
        <v>13</v>
      </c>
      <c r="E792" t="s">
        <v>11</v>
      </c>
      <c r="F792" s="3">
        <v>1.0434295434974614</v>
      </c>
      <c r="G792" s="3"/>
    </row>
    <row r="793" spans="1:7" x14ac:dyDescent="0.25">
      <c r="A793" t="s">
        <v>16</v>
      </c>
      <c r="B793">
        <v>2034</v>
      </c>
      <c r="C793" t="s">
        <v>19</v>
      </c>
      <c r="D793" t="s">
        <v>13</v>
      </c>
      <c r="E793" t="s">
        <v>20</v>
      </c>
      <c r="F793" s="3">
        <v>1.0499987178350598</v>
      </c>
      <c r="G793" s="3"/>
    </row>
    <row r="794" spans="1:7" x14ac:dyDescent="0.25">
      <c r="A794" t="s">
        <v>16</v>
      </c>
      <c r="B794">
        <v>2034</v>
      </c>
      <c r="C794" t="s">
        <v>19</v>
      </c>
      <c r="D794" t="s">
        <v>13</v>
      </c>
      <c r="E794" t="s">
        <v>21</v>
      </c>
      <c r="F794" s="3">
        <v>1.0426511687919882</v>
      </c>
      <c r="G794" s="3"/>
    </row>
    <row r="795" spans="1:7" x14ac:dyDescent="0.25">
      <c r="A795" t="s">
        <v>16</v>
      </c>
      <c r="B795">
        <v>2034</v>
      </c>
      <c r="C795" t="s">
        <v>19</v>
      </c>
      <c r="D795" t="s">
        <v>14</v>
      </c>
      <c r="E795" t="s">
        <v>55</v>
      </c>
      <c r="F795" s="3">
        <v>1.0352162793830915</v>
      </c>
      <c r="G795" s="3"/>
    </row>
    <row r="796" spans="1:7" x14ac:dyDescent="0.25">
      <c r="A796" t="s">
        <v>16</v>
      </c>
      <c r="B796">
        <v>2034</v>
      </c>
      <c r="C796" t="s">
        <v>19</v>
      </c>
      <c r="D796" t="s">
        <v>14</v>
      </c>
      <c r="E796" t="s">
        <v>54</v>
      </c>
      <c r="F796" s="3">
        <v>1.0537858774568993</v>
      </c>
      <c r="G796" s="3"/>
    </row>
    <row r="797" spans="1:7" x14ac:dyDescent="0.25">
      <c r="A797" t="s">
        <v>16</v>
      </c>
      <c r="B797">
        <v>2034</v>
      </c>
      <c r="C797" t="s">
        <v>19</v>
      </c>
      <c r="D797" t="s">
        <v>14</v>
      </c>
      <c r="E797" t="s">
        <v>11</v>
      </c>
      <c r="F797" s="3">
        <v>1.0446868815084347</v>
      </c>
      <c r="G797" s="3"/>
    </row>
    <row r="798" spans="1:7" x14ac:dyDescent="0.25">
      <c r="A798" t="s">
        <v>16</v>
      </c>
      <c r="B798">
        <v>2034</v>
      </c>
      <c r="C798" t="s">
        <v>19</v>
      </c>
      <c r="D798" t="s">
        <v>14</v>
      </c>
      <c r="E798" t="s">
        <v>20</v>
      </c>
      <c r="F798" s="3">
        <v>1.0514745585176974</v>
      </c>
      <c r="G798" s="3"/>
    </row>
    <row r="799" spans="1:7" x14ac:dyDescent="0.25">
      <c r="A799" t="s">
        <v>16</v>
      </c>
      <c r="B799">
        <v>2034</v>
      </c>
      <c r="C799" t="s">
        <v>19</v>
      </c>
      <c r="D799" t="s">
        <v>14</v>
      </c>
      <c r="E799" t="s">
        <v>21</v>
      </c>
      <c r="F799" s="3">
        <v>1.0435198527928728</v>
      </c>
      <c r="G799" s="3"/>
    </row>
    <row r="800" spans="1:7" x14ac:dyDescent="0.25">
      <c r="A800" t="s">
        <v>16</v>
      </c>
      <c r="B800">
        <v>2034</v>
      </c>
      <c r="C800" t="s">
        <v>19</v>
      </c>
      <c r="D800" t="s">
        <v>53</v>
      </c>
      <c r="E800" t="s">
        <v>55</v>
      </c>
      <c r="F800" s="3">
        <v>1.0352350895941367</v>
      </c>
      <c r="G800" s="3"/>
    </row>
    <row r="801" spans="1:7" x14ac:dyDescent="0.25">
      <c r="A801" t="s">
        <v>16</v>
      </c>
      <c r="B801">
        <v>2034</v>
      </c>
      <c r="C801" t="s">
        <v>19</v>
      </c>
      <c r="D801" t="s">
        <v>53</v>
      </c>
      <c r="E801" t="s">
        <v>54</v>
      </c>
      <c r="F801" s="3">
        <v>1.0538055432331599</v>
      </c>
      <c r="G801" s="3"/>
    </row>
    <row r="802" spans="1:7" x14ac:dyDescent="0.25">
      <c r="A802" t="s">
        <v>16</v>
      </c>
      <c r="B802">
        <v>2034</v>
      </c>
      <c r="C802" t="s">
        <v>19</v>
      </c>
      <c r="D802" t="s">
        <v>53</v>
      </c>
      <c r="E802" t="s">
        <v>11</v>
      </c>
      <c r="F802" s="3">
        <v>1.044693765748254</v>
      </c>
      <c r="G802" s="3"/>
    </row>
    <row r="803" spans="1:7" x14ac:dyDescent="0.25">
      <c r="A803" t="s">
        <v>16</v>
      </c>
      <c r="B803">
        <v>2034</v>
      </c>
      <c r="C803" t="s">
        <v>19</v>
      </c>
      <c r="D803" t="s">
        <v>53</v>
      </c>
      <c r="E803" t="s">
        <v>20</v>
      </c>
      <c r="F803" s="3">
        <v>1.0514828638297036</v>
      </c>
      <c r="G803" s="3"/>
    </row>
    <row r="804" spans="1:7" x14ac:dyDescent="0.25">
      <c r="A804" t="s">
        <v>16</v>
      </c>
      <c r="B804">
        <v>2034</v>
      </c>
      <c r="C804" t="s">
        <v>19</v>
      </c>
      <c r="D804" t="s">
        <v>53</v>
      </c>
      <c r="E804" t="s">
        <v>21</v>
      </c>
      <c r="F804" s="3">
        <v>1.043524961306231</v>
      </c>
      <c r="G804" s="3"/>
    </row>
    <row r="805" spans="1:7" x14ac:dyDescent="0.25">
      <c r="A805" t="s">
        <v>16</v>
      </c>
      <c r="B805">
        <v>2050</v>
      </c>
      <c r="C805" t="s">
        <v>19</v>
      </c>
      <c r="D805" t="s">
        <v>8</v>
      </c>
      <c r="E805" t="s">
        <v>55</v>
      </c>
      <c r="F805" s="3">
        <v>1.0606805579244005</v>
      </c>
      <c r="G805" s="3"/>
    </row>
    <row r="806" spans="1:7" x14ac:dyDescent="0.25">
      <c r="A806" t="s">
        <v>16</v>
      </c>
      <c r="B806">
        <v>2050</v>
      </c>
      <c r="C806" t="s">
        <v>19</v>
      </c>
      <c r="D806" t="s">
        <v>8</v>
      </c>
      <c r="E806" t="s">
        <v>54</v>
      </c>
      <c r="F806" s="3">
        <v>1.0974091022051089</v>
      </c>
      <c r="G806" s="3"/>
    </row>
    <row r="807" spans="1:7" x14ac:dyDescent="0.25">
      <c r="A807" t="s">
        <v>16</v>
      </c>
      <c r="B807">
        <v>2050</v>
      </c>
      <c r="C807" t="s">
        <v>19</v>
      </c>
      <c r="D807" t="s">
        <v>8</v>
      </c>
      <c r="E807" t="s">
        <v>11</v>
      </c>
      <c r="F807" s="3">
        <v>1.0448589580191896</v>
      </c>
      <c r="G807" s="3"/>
    </row>
    <row r="808" spans="1:7" x14ac:dyDescent="0.25">
      <c r="A808" t="s">
        <v>16</v>
      </c>
      <c r="B808">
        <v>2050</v>
      </c>
      <c r="C808" t="s">
        <v>19</v>
      </c>
      <c r="D808" t="s">
        <v>8</v>
      </c>
      <c r="E808" t="s">
        <v>20</v>
      </c>
      <c r="F808" s="3">
        <v>1.049824967209223</v>
      </c>
      <c r="G808" s="3"/>
    </row>
    <row r="809" spans="1:7" x14ac:dyDescent="0.25">
      <c r="A809" t="s">
        <v>16</v>
      </c>
      <c r="B809">
        <v>2050</v>
      </c>
      <c r="C809" t="s">
        <v>19</v>
      </c>
      <c r="D809" t="s">
        <v>8</v>
      </c>
      <c r="E809" t="s">
        <v>21</v>
      </c>
      <c r="F809" s="3">
        <v>1.0489694523611228</v>
      </c>
      <c r="G809" s="3"/>
    </row>
    <row r="810" spans="1:7" x14ac:dyDescent="0.25">
      <c r="A810" t="s">
        <v>16</v>
      </c>
      <c r="B810">
        <v>2050</v>
      </c>
      <c r="C810" t="s">
        <v>19</v>
      </c>
      <c r="D810" t="s">
        <v>13</v>
      </c>
      <c r="E810" t="s">
        <v>55</v>
      </c>
      <c r="F810" s="3">
        <v>1.0554636719122097</v>
      </c>
      <c r="G810" s="3"/>
    </row>
    <row r="811" spans="1:7" x14ac:dyDescent="0.25">
      <c r="A811" t="s">
        <v>16</v>
      </c>
      <c r="B811">
        <v>2050</v>
      </c>
      <c r="C811" t="s">
        <v>19</v>
      </c>
      <c r="D811" t="s">
        <v>13</v>
      </c>
      <c r="E811" t="s">
        <v>54</v>
      </c>
      <c r="F811" s="3">
        <v>1.0912339165171296</v>
      </c>
      <c r="G811" s="3"/>
    </row>
    <row r="812" spans="1:7" x14ac:dyDescent="0.25">
      <c r="A812" t="s">
        <v>16</v>
      </c>
      <c r="B812">
        <v>2050</v>
      </c>
      <c r="C812" t="s">
        <v>19</v>
      </c>
      <c r="D812" t="s">
        <v>13</v>
      </c>
      <c r="E812" t="s">
        <v>11</v>
      </c>
      <c r="F812" s="3">
        <v>1.0430166398023553</v>
      </c>
      <c r="G812" s="3"/>
    </row>
    <row r="813" spans="1:7" x14ac:dyDescent="0.25">
      <c r="A813" t="s">
        <v>16</v>
      </c>
      <c r="B813">
        <v>2050</v>
      </c>
      <c r="C813" t="s">
        <v>19</v>
      </c>
      <c r="D813" t="s">
        <v>13</v>
      </c>
      <c r="E813" t="s">
        <v>20</v>
      </c>
      <c r="F813" s="3">
        <v>1.0478107792235023</v>
      </c>
      <c r="G813" s="3"/>
    </row>
    <row r="814" spans="1:7" x14ac:dyDescent="0.25">
      <c r="A814" t="s">
        <v>16</v>
      </c>
      <c r="B814">
        <v>2050</v>
      </c>
      <c r="C814" t="s">
        <v>19</v>
      </c>
      <c r="D814" t="s">
        <v>13</v>
      </c>
      <c r="E814" t="s">
        <v>21</v>
      </c>
      <c r="F814" s="3">
        <v>1.047436293772313</v>
      </c>
      <c r="G814" s="3"/>
    </row>
    <row r="815" spans="1:7" x14ac:dyDescent="0.25">
      <c r="A815" t="s">
        <v>16</v>
      </c>
      <c r="B815">
        <v>2050</v>
      </c>
      <c r="C815" t="s">
        <v>19</v>
      </c>
      <c r="D815" t="s">
        <v>14</v>
      </c>
      <c r="E815" t="s">
        <v>55</v>
      </c>
      <c r="F815" s="3">
        <v>1.060700781659313</v>
      </c>
      <c r="G815" s="3"/>
    </row>
    <row r="816" spans="1:7" x14ac:dyDescent="0.25">
      <c r="A816" t="s">
        <v>16</v>
      </c>
      <c r="B816">
        <v>2050</v>
      </c>
      <c r="C816" t="s">
        <v>19</v>
      </c>
      <c r="D816" t="s">
        <v>14</v>
      </c>
      <c r="E816" t="s">
        <v>54</v>
      </c>
      <c r="F816" s="3">
        <v>1.0974324616075366</v>
      </c>
      <c r="G816" s="3"/>
    </row>
    <row r="817" spans="1:7" x14ac:dyDescent="0.25">
      <c r="A817" t="s">
        <v>16</v>
      </c>
      <c r="B817">
        <v>2050</v>
      </c>
      <c r="C817" t="s">
        <v>19</v>
      </c>
      <c r="D817" t="s">
        <v>14</v>
      </c>
      <c r="E817" t="s">
        <v>11</v>
      </c>
      <c r="F817" s="3">
        <v>1.0448668704369459</v>
      </c>
      <c r="G817" s="3"/>
    </row>
    <row r="818" spans="1:7" x14ac:dyDescent="0.25">
      <c r="A818" t="s">
        <v>16</v>
      </c>
      <c r="B818">
        <v>2050</v>
      </c>
      <c r="C818" t="s">
        <v>19</v>
      </c>
      <c r="D818" t="s">
        <v>14</v>
      </c>
      <c r="E818" t="s">
        <v>20</v>
      </c>
      <c r="F818" s="3">
        <v>1.049833458793004</v>
      </c>
      <c r="G818" s="3"/>
    </row>
    <row r="819" spans="1:7" x14ac:dyDescent="0.25">
      <c r="A819" t="s">
        <v>16</v>
      </c>
      <c r="B819">
        <v>2050</v>
      </c>
      <c r="C819" t="s">
        <v>19</v>
      </c>
      <c r="D819" t="s">
        <v>14</v>
      </c>
      <c r="E819" t="s">
        <v>21</v>
      </c>
      <c r="F819" s="3">
        <v>1.0489755124236584</v>
      </c>
      <c r="G819" s="3"/>
    </row>
    <row r="820" spans="1:7" x14ac:dyDescent="0.25">
      <c r="A820" t="s">
        <v>16</v>
      </c>
      <c r="B820">
        <v>2050</v>
      </c>
      <c r="C820" t="s">
        <v>19</v>
      </c>
      <c r="D820" t="s">
        <v>53</v>
      </c>
      <c r="E820" t="s">
        <v>55</v>
      </c>
      <c r="F820" s="3">
        <v>1.06073557639098</v>
      </c>
      <c r="G820" s="3"/>
    </row>
    <row r="821" spans="1:7" x14ac:dyDescent="0.25">
      <c r="A821" t="s">
        <v>16</v>
      </c>
      <c r="B821">
        <v>2050</v>
      </c>
      <c r="C821" t="s">
        <v>19</v>
      </c>
      <c r="D821" t="s">
        <v>53</v>
      </c>
      <c r="E821" t="s">
        <v>54</v>
      </c>
      <c r="F821" s="3">
        <v>1.0974726410084363</v>
      </c>
      <c r="G821" s="3"/>
    </row>
    <row r="822" spans="1:7" x14ac:dyDescent="0.25">
      <c r="A822" t="s">
        <v>16</v>
      </c>
      <c r="B822">
        <v>2050</v>
      </c>
      <c r="C822" t="s">
        <v>19</v>
      </c>
      <c r="D822" t="s">
        <v>53</v>
      </c>
      <c r="E822" t="s">
        <v>11</v>
      </c>
      <c r="F822" s="3">
        <v>1.0448773993507929</v>
      </c>
      <c r="G822" s="3"/>
    </row>
    <row r="823" spans="1:7" x14ac:dyDescent="0.25">
      <c r="A823" t="s">
        <v>16</v>
      </c>
      <c r="B823">
        <v>2050</v>
      </c>
      <c r="C823" t="s">
        <v>19</v>
      </c>
      <c r="D823" t="s">
        <v>53</v>
      </c>
      <c r="E823" t="s">
        <v>20</v>
      </c>
      <c r="F823" s="3">
        <v>1.0498451251267131</v>
      </c>
      <c r="G823" s="3"/>
    </row>
    <row r="824" spans="1:7" x14ac:dyDescent="0.25">
      <c r="A824" t="s">
        <v>16</v>
      </c>
      <c r="B824">
        <v>2050</v>
      </c>
      <c r="C824" t="s">
        <v>19</v>
      </c>
      <c r="D824" t="s">
        <v>53</v>
      </c>
      <c r="E824" t="s">
        <v>21</v>
      </c>
      <c r="F824" s="3">
        <v>1.0489846719923754</v>
      </c>
      <c r="G82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D0515-9D31-4706-B6DB-C3AF7ABB700D}">
  <dimension ref="A1:B4"/>
  <sheetViews>
    <sheetView workbookViewId="0">
      <selection activeCell="B5" sqref="B5"/>
    </sheetView>
  </sheetViews>
  <sheetFormatPr defaultRowHeight="15" x14ac:dyDescent="0.25"/>
  <cols>
    <col min="2" max="2" width="14.28515625" bestFit="1" customWidth="1"/>
  </cols>
  <sheetData>
    <row r="1" spans="1:2" x14ac:dyDescent="0.25">
      <c r="A1" s="1" t="s">
        <v>1</v>
      </c>
      <c r="B1" s="1" t="s">
        <v>70</v>
      </c>
    </row>
    <row r="2" spans="1:2" x14ac:dyDescent="0.25">
      <c r="A2" t="s">
        <v>15</v>
      </c>
      <c r="B2" s="3">
        <v>1.2</v>
      </c>
    </row>
    <row r="3" spans="1:2" x14ac:dyDescent="0.25">
      <c r="A3" t="s">
        <v>6</v>
      </c>
      <c r="B3">
        <v>1</v>
      </c>
    </row>
    <row r="4" spans="1:2" x14ac:dyDescent="0.25">
      <c r="A4" t="s">
        <v>16</v>
      </c>
      <c r="B4">
        <v>0.8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8A58-E689-4D44-8CED-C1FA1569BE0A}">
  <dimension ref="A1:E10"/>
  <sheetViews>
    <sheetView workbookViewId="0">
      <selection activeCell="C39" sqref="C39"/>
    </sheetView>
  </sheetViews>
  <sheetFormatPr defaultRowHeight="15" x14ac:dyDescent="0.25"/>
  <cols>
    <col min="3" max="3" width="10.140625" bestFit="1" customWidth="1"/>
    <col min="4" max="4" width="9" bestFit="1" customWidth="1"/>
    <col min="5" max="5" width="9.140625" bestFit="1" customWidth="1"/>
  </cols>
  <sheetData>
    <row r="1" spans="1:5" x14ac:dyDescent="0.25">
      <c r="A1" s="1" t="s">
        <v>1</v>
      </c>
      <c r="B1" s="1" t="s">
        <v>22</v>
      </c>
      <c r="C1" s="1" t="s">
        <v>23</v>
      </c>
      <c r="D1" s="1" t="s">
        <v>56</v>
      </c>
      <c r="E1" s="1" t="s">
        <v>57</v>
      </c>
    </row>
    <row r="2" spans="1:5" x14ac:dyDescent="0.25">
      <c r="A2">
        <v>0</v>
      </c>
      <c r="B2" t="s">
        <v>58</v>
      </c>
      <c r="C2" s="2">
        <f>1/9</f>
        <v>0.1111111111111111</v>
      </c>
      <c r="D2" t="s">
        <v>15</v>
      </c>
      <c r="E2" t="s">
        <v>15</v>
      </c>
    </row>
    <row r="3" spans="1:5" x14ac:dyDescent="0.25">
      <c r="A3">
        <v>1</v>
      </c>
      <c r="B3" t="s">
        <v>59</v>
      </c>
      <c r="C3" s="2">
        <f t="shared" ref="C3:C10" si="0">1/9</f>
        <v>0.1111111111111111</v>
      </c>
      <c r="D3" t="s">
        <v>15</v>
      </c>
      <c r="E3" t="s">
        <v>6</v>
      </c>
    </row>
    <row r="4" spans="1:5" x14ac:dyDescent="0.25">
      <c r="A4">
        <v>2</v>
      </c>
      <c r="B4" t="s">
        <v>60</v>
      </c>
      <c r="C4" s="2">
        <f t="shared" si="0"/>
        <v>0.1111111111111111</v>
      </c>
      <c r="D4" t="s">
        <v>15</v>
      </c>
      <c r="E4" t="s">
        <v>16</v>
      </c>
    </row>
    <row r="5" spans="1:5" x14ac:dyDescent="0.25">
      <c r="A5">
        <v>3</v>
      </c>
      <c r="B5" t="s">
        <v>61</v>
      </c>
      <c r="C5" s="2">
        <f t="shared" si="0"/>
        <v>0.1111111111111111</v>
      </c>
      <c r="D5" t="s">
        <v>6</v>
      </c>
      <c r="E5" t="s">
        <v>15</v>
      </c>
    </row>
    <row r="6" spans="1:5" x14ac:dyDescent="0.25">
      <c r="A6">
        <v>4</v>
      </c>
      <c r="B6" t="s">
        <v>62</v>
      </c>
      <c r="C6" s="2">
        <f t="shared" si="0"/>
        <v>0.1111111111111111</v>
      </c>
      <c r="D6" t="s">
        <v>6</v>
      </c>
      <c r="E6" t="s">
        <v>6</v>
      </c>
    </row>
    <row r="7" spans="1:5" x14ac:dyDescent="0.25">
      <c r="A7">
        <v>5</v>
      </c>
      <c r="B7" t="s">
        <v>63</v>
      </c>
      <c r="C7" s="2">
        <f t="shared" si="0"/>
        <v>0.1111111111111111</v>
      </c>
      <c r="D7" t="s">
        <v>6</v>
      </c>
      <c r="E7" t="s">
        <v>16</v>
      </c>
    </row>
    <row r="8" spans="1:5" x14ac:dyDescent="0.25">
      <c r="A8">
        <v>6</v>
      </c>
      <c r="B8" t="s">
        <v>64</v>
      </c>
      <c r="C8" s="2">
        <f t="shared" si="0"/>
        <v>0.1111111111111111</v>
      </c>
      <c r="D8" t="s">
        <v>16</v>
      </c>
      <c r="E8" t="s">
        <v>15</v>
      </c>
    </row>
    <row r="9" spans="1:5" x14ac:dyDescent="0.25">
      <c r="A9">
        <v>7</v>
      </c>
      <c r="B9" t="s">
        <v>65</v>
      </c>
      <c r="C9" s="2">
        <f t="shared" si="0"/>
        <v>0.1111111111111111</v>
      </c>
      <c r="D9" t="s">
        <v>16</v>
      </c>
      <c r="E9" t="s">
        <v>6</v>
      </c>
    </row>
    <row r="10" spans="1:5" x14ac:dyDescent="0.25">
      <c r="A10">
        <v>8</v>
      </c>
      <c r="B10" t="s">
        <v>66</v>
      </c>
      <c r="C10" s="2">
        <f t="shared" si="0"/>
        <v>0.1111111111111111</v>
      </c>
      <c r="D10" t="s">
        <v>16</v>
      </c>
      <c r="E10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6E1A-D3EC-47A8-91AD-3E7ADA2F1FE3}">
  <dimension ref="A1:E27"/>
  <sheetViews>
    <sheetView workbookViewId="0">
      <selection activeCell="C27" sqref="C27"/>
    </sheetView>
  </sheetViews>
  <sheetFormatPr defaultRowHeight="15" x14ac:dyDescent="0.25"/>
  <cols>
    <col min="3" max="3" width="10.140625" bestFit="1" customWidth="1"/>
    <col min="4" max="4" width="9" bestFit="1" customWidth="1"/>
    <col min="5" max="5" width="9.140625" bestFit="1" customWidth="1"/>
  </cols>
  <sheetData>
    <row r="1" spans="1:5" x14ac:dyDescent="0.25">
      <c r="A1" s="1" t="s">
        <v>1</v>
      </c>
      <c r="B1" s="1" t="s">
        <v>22</v>
      </c>
      <c r="C1" s="1" t="s">
        <v>23</v>
      </c>
      <c r="D1" s="1" t="s">
        <v>56</v>
      </c>
      <c r="E1" s="1" t="s">
        <v>57</v>
      </c>
    </row>
    <row r="2" spans="1:5" x14ac:dyDescent="0.25">
      <c r="A2">
        <v>0</v>
      </c>
      <c r="B2" t="str">
        <f>_xlfn.CONCAT(D2:E2)</f>
        <v>EE</v>
      </c>
      <c r="C2" s="2">
        <f>1/25</f>
        <v>0.04</v>
      </c>
      <c r="D2" t="s">
        <v>68</v>
      </c>
      <c r="E2" t="s">
        <v>68</v>
      </c>
    </row>
    <row r="3" spans="1:5" x14ac:dyDescent="0.25">
      <c r="A3">
        <v>1</v>
      </c>
      <c r="B3" t="str">
        <f t="shared" ref="B3:B25" si="0">_xlfn.CONCAT(D3:E3)</f>
        <v>EO</v>
      </c>
      <c r="C3" s="2">
        <f t="shared" ref="C3:C26" si="1">1/25</f>
        <v>0.04</v>
      </c>
      <c r="D3" t="s">
        <v>68</v>
      </c>
      <c r="E3" t="s">
        <v>15</v>
      </c>
    </row>
    <row r="4" spans="1:5" x14ac:dyDescent="0.25">
      <c r="A4">
        <v>2</v>
      </c>
      <c r="B4" t="str">
        <f t="shared" si="0"/>
        <v>EB</v>
      </c>
      <c r="C4" s="2">
        <f t="shared" si="1"/>
        <v>0.04</v>
      </c>
      <c r="D4" t="s">
        <v>68</v>
      </c>
      <c r="E4" t="s">
        <v>6</v>
      </c>
    </row>
    <row r="5" spans="1:5" x14ac:dyDescent="0.25">
      <c r="A5">
        <v>3</v>
      </c>
      <c r="B5" t="str">
        <f t="shared" si="0"/>
        <v>EP</v>
      </c>
      <c r="C5" s="2">
        <f t="shared" si="1"/>
        <v>0.04</v>
      </c>
      <c r="D5" t="s">
        <v>68</v>
      </c>
      <c r="E5" t="s">
        <v>16</v>
      </c>
    </row>
    <row r="6" spans="1:5" x14ac:dyDescent="0.25">
      <c r="A6">
        <v>4</v>
      </c>
      <c r="B6" t="str">
        <f t="shared" si="0"/>
        <v>EN</v>
      </c>
      <c r="C6" s="2">
        <f t="shared" si="1"/>
        <v>0.04</v>
      </c>
      <c r="D6" t="s">
        <v>68</v>
      </c>
      <c r="E6" t="s">
        <v>69</v>
      </c>
    </row>
    <row r="7" spans="1:5" x14ac:dyDescent="0.25">
      <c r="A7">
        <v>5</v>
      </c>
      <c r="B7" t="str">
        <f t="shared" si="0"/>
        <v>OE</v>
      </c>
      <c r="C7" s="2">
        <f t="shared" si="1"/>
        <v>0.04</v>
      </c>
      <c r="D7" t="s">
        <v>15</v>
      </c>
      <c r="E7" t="s">
        <v>68</v>
      </c>
    </row>
    <row r="8" spans="1:5" x14ac:dyDescent="0.25">
      <c r="A8">
        <v>6</v>
      </c>
      <c r="B8" t="str">
        <f t="shared" si="0"/>
        <v>OO</v>
      </c>
      <c r="C8" s="2">
        <f t="shared" si="1"/>
        <v>0.04</v>
      </c>
      <c r="D8" t="s">
        <v>15</v>
      </c>
      <c r="E8" t="s">
        <v>15</v>
      </c>
    </row>
    <row r="9" spans="1:5" x14ac:dyDescent="0.25">
      <c r="A9">
        <v>7</v>
      </c>
      <c r="B9" t="str">
        <f t="shared" si="0"/>
        <v>OB</v>
      </c>
      <c r="C9" s="2">
        <f t="shared" si="1"/>
        <v>0.04</v>
      </c>
      <c r="D9" t="s">
        <v>15</v>
      </c>
      <c r="E9" t="s">
        <v>6</v>
      </c>
    </row>
    <row r="10" spans="1:5" x14ac:dyDescent="0.25">
      <c r="A10">
        <v>8</v>
      </c>
      <c r="B10" t="str">
        <f t="shared" si="0"/>
        <v>OP</v>
      </c>
      <c r="C10" s="2">
        <f t="shared" si="1"/>
        <v>0.04</v>
      </c>
      <c r="D10" t="s">
        <v>15</v>
      </c>
      <c r="E10" t="s">
        <v>16</v>
      </c>
    </row>
    <row r="11" spans="1:5" x14ac:dyDescent="0.25">
      <c r="A11">
        <v>9</v>
      </c>
      <c r="B11" t="str">
        <f t="shared" si="0"/>
        <v>ON</v>
      </c>
      <c r="C11" s="2">
        <f t="shared" si="1"/>
        <v>0.04</v>
      </c>
      <c r="D11" t="s">
        <v>15</v>
      </c>
      <c r="E11" t="s">
        <v>69</v>
      </c>
    </row>
    <row r="12" spans="1:5" x14ac:dyDescent="0.25">
      <c r="A12">
        <v>10</v>
      </c>
      <c r="B12" t="str">
        <f t="shared" si="0"/>
        <v>BE</v>
      </c>
      <c r="C12" s="2">
        <f t="shared" si="1"/>
        <v>0.04</v>
      </c>
      <c r="D12" t="s">
        <v>6</v>
      </c>
      <c r="E12" t="s">
        <v>68</v>
      </c>
    </row>
    <row r="13" spans="1:5" x14ac:dyDescent="0.25">
      <c r="A13">
        <v>11</v>
      </c>
      <c r="B13" t="str">
        <f t="shared" si="0"/>
        <v>BO</v>
      </c>
      <c r="C13" s="2">
        <f t="shared" si="1"/>
        <v>0.04</v>
      </c>
      <c r="D13" t="s">
        <v>6</v>
      </c>
      <c r="E13" t="s">
        <v>15</v>
      </c>
    </row>
    <row r="14" spans="1:5" x14ac:dyDescent="0.25">
      <c r="A14">
        <v>12</v>
      </c>
      <c r="B14" t="str">
        <f t="shared" si="0"/>
        <v>BB</v>
      </c>
      <c r="C14" s="2">
        <f t="shared" si="1"/>
        <v>0.04</v>
      </c>
      <c r="D14" t="s">
        <v>6</v>
      </c>
      <c r="E14" t="s">
        <v>6</v>
      </c>
    </row>
    <row r="15" spans="1:5" x14ac:dyDescent="0.25">
      <c r="A15">
        <v>13</v>
      </c>
      <c r="B15" t="str">
        <f t="shared" si="0"/>
        <v>BP</v>
      </c>
      <c r="C15" s="2">
        <f t="shared" si="1"/>
        <v>0.04</v>
      </c>
      <c r="D15" t="s">
        <v>6</v>
      </c>
      <c r="E15" t="s">
        <v>16</v>
      </c>
    </row>
    <row r="16" spans="1:5" x14ac:dyDescent="0.25">
      <c r="A16">
        <v>14</v>
      </c>
      <c r="B16" t="str">
        <f t="shared" si="0"/>
        <v>BN</v>
      </c>
      <c r="C16" s="2">
        <f t="shared" si="1"/>
        <v>0.04</v>
      </c>
      <c r="D16" t="s">
        <v>6</v>
      </c>
      <c r="E16" t="s">
        <v>69</v>
      </c>
    </row>
    <row r="17" spans="1:5" x14ac:dyDescent="0.25">
      <c r="A17">
        <v>15</v>
      </c>
      <c r="B17" t="str">
        <f t="shared" si="0"/>
        <v>PE</v>
      </c>
      <c r="C17" s="2">
        <f t="shared" si="1"/>
        <v>0.04</v>
      </c>
      <c r="D17" t="s">
        <v>16</v>
      </c>
      <c r="E17" t="s">
        <v>68</v>
      </c>
    </row>
    <row r="18" spans="1:5" x14ac:dyDescent="0.25">
      <c r="A18">
        <v>16</v>
      </c>
      <c r="B18" t="str">
        <f t="shared" si="0"/>
        <v>PO</v>
      </c>
      <c r="C18" s="2">
        <f t="shared" si="1"/>
        <v>0.04</v>
      </c>
      <c r="D18" t="s">
        <v>16</v>
      </c>
      <c r="E18" t="s">
        <v>15</v>
      </c>
    </row>
    <row r="19" spans="1:5" x14ac:dyDescent="0.25">
      <c r="A19">
        <v>17</v>
      </c>
      <c r="B19" t="str">
        <f t="shared" si="0"/>
        <v>PB</v>
      </c>
      <c r="C19" s="2">
        <f t="shared" si="1"/>
        <v>0.04</v>
      </c>
      <c r="D19" t="s">
        <v>16</v>
      </c>
      <c r="E19" t="s">
        <v>6</v>
      </c>
    </row>
    <row r="20" spans="1:5" x14ac:dyDescent="0.25">
      <c r="A20">
        <v>18</v>
      </c>
      <c r="B20" t="str">
        <f t="shared" si="0"/>
        <v>PP</v>
      </c>
      <c r="C20" s="2">
        <f t="shared" si="1"/>
        <v>0.04</v>
      </c>
      <c r="D20" t="s">
        <v>16</v>
      </c>
      <c r="E20" t="s">
        <v>16</v>
      </c>
    </row>
    <row r="21" spans="1:5" x14ac:dyDescent="0.25">
      <c r="A21">
        <v>19</v>
      </c>
      <c r="B21" t="str">
        <f t="shared" si="0"/>
        <v>PN</v>
      </c>
      <c r="C21" s="2">
        <f t="shared" si="1"/>
        <v>0.04</v>
      </c>
      <c r="D21" t="s">
        <v>16</v>
      </c>
      <c r="E21" t="s">
        <v>69</v>
      </c>
    </row>
    <row r="22" spans="1:5" x14ac:dyDescent="0.25">
      <c r="A22">
        <v>20</v>
      </c>
      <c r="B22" t="str">
        <f t="shared" si="0"/>
        <v>NE</v>
      </c>
      <c r="C22" s="2">
        <f t="shared" si="1"/>
        <v>0.04</v>
      </c>
      <c r="D22" t="s">
        <v>69</v>
      </c>
      <c r="E22" t="s">
        <v>68</v>
      </c>
    </row>
    <row r="23" spans="1:5" x14ac:dyDescent="0.25">
      <c r="A23">
        <v>21</v>
      </c>
      <c r="B23" t="str">
        <f t="shared" si="0"/>
        <v>NO</v>
      </c>
      <c r="C23" s="2">
        <f t="shared" si="1"/>
        <v>0.04</v>
      </c>
      <c r="D23" t="s">
        <v>69</v>
      </c>
      <c r="E23" t="s">
        <v>15</v>
      </c>
    </row>
    <row r="24" spans="1:5" x14ac:dyDescent="0.25">
      <c r="A24">
        <v>22</v>
      </c>
      <c r="B24" t="str">
        <f t="shared" si="0"/>
        <v>NB</v>
      </c>
      <c r="C24" s="2">
        <f t="shared" si="1"/>
        <v>0.04</v>
      </c>
      <c r="D24" t="s">
        <v>69</v>
      </c>
      <c r="E24" t="s">
        <v>6</v>
      </c>
    </row>
    <row r="25" spans="1:5" x14ac:dyDescent="0.25">
      <c r="A25">
        <v>23</v>
      </c>
      <c r="B25" t="str">
        <f t="shared" si="0"/>
        <v>NP</v>
      </c>
      <c r="C25" s="2">
        <f t="shared" si="1"/>
        <v>0.04</v>
      </c>
      <c r="D25" t="s">
        <v>69</v>
      </c>
      <c r="E25" t="s">
        <v>16</v>
      </c>
    </row>
    <row r="26" spans="1:5" x14ac:dyDescent="0.25">
      <c r="A26">
        <v>24</v>
      </c>
      <c r="B26" t="str">
        <f t="shared" ref="B26" si="2">_xlfn.CONCAT(D26:E26)</f>
        <v>NN</v>
      </c>
      <c r="C26" s="2">
        <f t="shared" si="1"/>
        <v>0.04</v>
      </c>
      <c r="D26" t="s">
        <v>69</v>
      </c>
      <c r="E26" t="s">
        <v>69</v>
      </c>
    </row>
    <row r="27" spans="1:5" x14ac:dyDescent="0.25">
      <c r="C2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DDF2-30F3-4CCA-8112-0900DFF4C9AB}">
  <dimension ref="A1:F28"/>
  <sheetViews>
    <sheetView workbookViewId="0">
      <selection activeCell="A2" sqref="A2:A28"/>
    </sheetView>
  </sheetViews>
  <sheetFormatPr defaultRowHeight="15" x14ac:dyDescent="0.25"/>
  <cols>
    <col min="3" max="3" width="10.140625" bestFit="1" customWidth="1"/>
    <col min="4" max="4" width="9" bestFit="1" customWidth="1"/>
    <col min="5" max="5" width="9.140625" bestFit="1" customWidth="1"/>
  </cols>
  <sheetData>
    <row r="1" spans="1:6" x14ac:dyDescent="0.25">
      <c r="A1" s="1" t="s">
        <v>1</v>
      </c>
      <c r="B1" s="1" t="s">
        <v>22</v>
      </c>
      <c r="C1" s="1" t="s">
        <v>23</v>
      </c>
      <c r="D1" s="1" t="s">
        <v>56</v>
      </c>
      <c r="E1" s="1" t="s">
        <v>57</v>
      </c>
      <c r="F1" s="1" t="s">
        <v>67</v>
      </c>
    </row>
    <row r="2" spans="1:6" x14ac:dyDescent="0.25">
      <c r="A2">
        <v>0</v>
      </c>
      <c r="B2" t="str">
        <f>_xlfn.CONCAT(D2:F2)</f>
        <v>OOO</v>
      </c>
      <c r="C2" s="2">
        <v>3.7037037037037035E-2</v>
      </c>
      <c r="D2" t="s">
        <v>15</v>
      </c>
      <c r="E2" t="s">
        <v>15</v>
      </c>
      <c r="F2" t="s">
        <v>15</v>
      </c>
    </row>
    <row r="3" spans="1:6" x14ac:dyDescent="0.25">
      <c r="A3">
        <v>1</v>
      </c>
      <c r="B3" t="str">
        <f t="shared" ref="B3:B28" si="0">_xlfn.CONCAT(D3:F3)</f>
        <v>OBO</v>
      </c>
      <c r="C3" s="2">
        <v>3.7037037037037035E-2</v>
      </c>
      <c r="D3" t="s">
        <v>15</v>
      </c>
      <c r="E3" t="s">
        <v>6</v>
      </c>
      <c r="F3" t="s">
        <v>15</v>
      </c>
    </row>
    <row r="4" spans="1:6" x14ac:dyDescent="0.25">
      <c r="A4">
        <v>2</v>
      </c>
      <c r="B4" t="str">
        <f t="shared" si="0"/>
        <v>OPO</v>
      </c>
      <c r="C4" s="2">
        <v>3.7037037037037035E-2</v>
      </c>
      <c r="D4" t="s">
        <v>15</v>
      </c>
      <c r="E4" t="s">
        <v>16</v>
      </c>
      <c r="F4" t="s">
        <v>15</v>
      </c>
    </row>
    <row r="5" spans="1:6" x14ac:dyDescent="0.25">
      <c r="A5">
        <v>3</v>
      </c>
      <c r="B5" t="str">
        <f t="shared" si="0"/>
        <v>BOO</v>
      </c>
      <c r="C5" s="2">
        <v>3.7037037037037035E-2</v>
      </c>
      <c r="D5" t="s">
        <v>6</v>
      </c>
      <c r="E5" t="s">
        <v>15</v>
      </c>
      <c r="F5" t="s">
        <v>15</v>
      </c>
    </row>
    <row r="6" spans="1:6" x14ac:dyDescent="0.25">
      <c r="A6">
        <v>4</v>
      </c>
      <c r="B6" t="str">
        <f t="shared" si="0"/>
        <v>BBO</v>
      </c>
      <c r="C6" s="2">
        <v>3.7037037037037035E-2</v>
      </c>
      <c r="D6" t="s">
        <v>6</v>
      </c>
      <c r="E6" t="s">
        <v>6</v>
      </c>
      <c r="F6" t="s">
        <v>15</v>
      </c>
    </row>
    <row r="7" spans="1:6" x14ac:dyDescent="0.25">
      <c r="A7">
        <v>5</v>
      </c>
      <c r="B7" t="str">
        <f t="shared" si="0"/>
        <v>BPO</v>
      </c>
      <c r="C7" s="2">
        <v>3.7037037037037035E-2</v>
      </c>
      <c r="D7" t="s">
        <v>6</v>
      </c>
      <c r="E7" t="s">
        <v>16</v>
      </c>
      <c r="F7" t="s">
        <v>15</v>
      </c>
    </row>
    <row r="8" spans="1:6" x14ac:dyDescent="0.25">
      <c r="A8">
        <v>6</v>
      </c>
      <c r="B8" t="str">
        <f t="shared" si="0"/>
        <v>POO</v>
      </c>
      <c r="C8" s="2">
        <v>3.7037037037037035E-2</v>
      </c>
      <c r="D8" t="s">
        <v>16</v>
      </c>
      <c r="E8" t="s">
        <v>15</v>
      </c>
      <c r="F8" t="s">
        <v>15</v>
      </c>
    </row>
    <row r="9" spans="1:6" x14ac:dyDescent="0.25">
      <c r="A9">
        <v>7</v>
      </c>
      <c r="B9" t="str">
        <f t="shared" si="0"/>
        <v>PBO</v>
      </c>
      <c r="C9" s="2">
        <v>3.7037037037037035E-2</v>
      </c>
      <c r="D9" t="s">
        <v>16</v>
      </c>
      <c r="E9" t="s">
        <v>6</v>
      </c>
      <c r="F9" t="s">
        <v>15</v>
      </c>
    </row>
    <row r="10" spans="1:6" x14ac:dyDescent="0.25">
      <c r="A10">
        <v>8</v>
      </c>
      <c r="B10" t="str">
        <f t="shared" si="0"/>
        <v>PPO</v>
      </c>
      <c r="C10" s="2">
        <v>3.7037037037037035E-2</v>
      </c>
      <c r="D10" t="s">
        <v>16</v>
      </c>
      <c r="E10" t="s">
        <v>16</v>
      </c>
      <c r="F10" t="s">
        <v>15</v>
      </c>
    </row>
    <row r="11" spans="1:6" x14ac:dyDescent="0.25">
      <c r="A11">
        <v>9</v>
      </c>
      <c r="B11" t="str">
        <f t="shared" si="0"/>
        <v>OOB</v>
      </c>
      <c r="C11" s="2">
        <v>3.7037037037037035E-2</v>
      </c>
      <c r="D11" t="s">
        <v>15</v>
      </c>
      <c r="E11" t="s">
        <v>15</v>
      </c>
      <c r="F11" t="s">
        <v>6</v>
      </c>
    </row>
    <row r="12" spans="1:6" x14ac:dyDescent="0.25">
      <c r="A12">
        <v>10</v>
      </c>
      <c r="B12" t="str">
        <f t="shared" si="0"/>
        <v>OBB</v>
      </c>
      <c r="C12" s="2">
        <v>3.7037037037037035E-2</v>
      </c>
      <c r="D12" t="s">
        <v>15</v>
      </c>
      <c r="E12" t="s">
        <v>6</v>
      </c>
      <c r="F12" t="s">
        <v>6</v>
      </c>
    </row>
    <row r="13" spans="1:6" x14ac:dyDescent="0.25">
      <c r="A13">
        <v>11</v>
      </c>
      <c r="B13" t="str">
        <f t="shared" si="0"/>
        <v>OPB</v>
      </c>
      <c r="C13" s="2">
        <v>3.7037037037037035E-2</v>
      </c>
      <c r="D13" t="s">
        <v>15</v>
      </c>
      <c r="E13" t="s">
        <v>16</v>
      </c>
      <c r="F13" t="s">
        <v>6</v>
      </c>
    </row>
    <row r="14" spans="1:6" x14ac:dyDescent="0.25">
      <c r="A14">
        <v>12</v>
      </c>
      <c r="B14" t="str">
        <f t="shared" si="0"/>
        <v>BOB</v>
      </c>
      <c r="C14" s="2">
        <v>3.7037037037037035E-2</v>
      </c>
      <c r="D14" t="s">
        <v>6</v>
      </c>
      <c r="E14" t="s">
        <v>15</v>
      </c>
      <c r="F14" t="s">
        <v>6</v>
      </c>
    </row>
    <row r="15" spans="1:6" x14ac:dyDescent="0.25">
      <c r="A15">
        <v>13</v>
      </c>
      <c r="B15" t="str">
        <f t="shared" si="0"/>
        <v>BBB</v>
      </c>
      <c r="C15" s="2">
        <v>3.7037037037037035E-2</v>
      </c>
      <c r="D15" t="s">
        <v>6</v>
      </c>
      <c r="E15" t="s">
        <v>6</v>
      </c>
      <c r="F15" t="s">
        <v>6</v>
      </c>
    </row>
    <row r="16" spans="1:6" x14ac:dyDescent="0.25">
      <c r="A16">
        <v>14</v>
      </c>
      <c r="B16" t="str">
        <f t="shared" si="0"/>
        <v>BPB</v>
      </c>
      <c r="C16" s="2">
        <v>3.7037037037037035E-2</v>
      </c>
      <c r="D16" t="s">
        <v>6</v>
      </c>
      <c r="E16" t="s">
        <v>16</v>
      </c>
      <c r="F16" t="s">
        <v>6</v>
      </c>
    </row>
    <row r="17" spans="1:6" x14ac:dyDescent="0.25">
      <c r="A17">
        <v>15</v>
      </c>
      <c r="B17" t="str">
        <f t="shared" si="0"/>
        <v>POB</v>
      </c>
      <c r="C17" s="2">
        <v>3.7037037037037035E-2</v>
      </c>
      <c r="D17" t="s">
        <v>16</v>
      </c>
      <c r="E17" t="s">
        <v>15</v>
      </c>
      <c r="F17" t="s">
        <v>6</v>
      </c>
    </row>
    <row r="18" spans="1:6" x14ac:dyDescent="0.25">
      <c r="A18">
        <v>16</v>
      </c>
      <c r="B18" t="str">
        <f t="shared" si="0"/>
        <v>PBB</v>
      </c>
      <c r="C18" s="2">
        <v>3.7037037037037035E-2</v>
      </c>
      <c r="D18" t="s">
        <v>16</v>
      </c>
      <c r="E18" t="s">
        <v>6</v>
      </c>
      <c r="F18" t="s">
        <v>6</v>
      </c>
    </row>
    <row r="19" spans="1:6" x14ac:dyDescent="0.25">
      <c r="A19">
        <v>17</v>
      </c>
      <c r="B19" t="str">
        <f t="shared" si="0"/>
        <v>PPB</v>
      </c>
      <c r="C19" s="2">
        <v>3.7037037037037035E-2</v>
      </c>
      <c r="D19" t="s">
        <v>16</v>
      </c>
      <c r="E19" t="s">
        <v>16</v>
      </c>
      <c r="F19" t="s">
        <v>6</v>
      </c>
    </row>
    <row r="20" spans="1:6" x14ac:dyDescent="0.25">
      <c r="A20">
        <v>18</v>
      </c>
      <c r="B20" t="str">
        <f t="shared" si="0"/>
        <v>OOP</v>
      </c>
      <c r="C20" s="2">
        <v>3.7037037037037035E-2</v>
      </c>
      <c r="D20" t="s">
        <v>15</v>
      </c>
      <c r="E20" t="s">
        <v>15</v>
      </c>
      <c r="F20" t="s">
        <v>16</v>
      </c>
    </row>
    <row r="21" spans="1:6" x14ac:dyDescent="0.25">
      <c r="A21">
        <v>19</v>
      </c>
      <c r="B21" t="str">
        <f t="shared" si="0"/>
        <v>OBP</v>
      </c>
      <c r="C21" s="2">
        <v>3.7037037037037035E-2</v>
      </c>
      <c r="D21" t="s">
        <v>15</v>
      </c>
      <c r="E21" t="s">
        <v>6</v>
      </c>
      <c r="F21" t="s">
        <v>16</v>
      </c>
    </row>
    <row r="22" spans="1:6" x14ac:dyDescent="0.25">
      <c r="A22">
        <v>20</v>
      </c>
      <c r="B22" t="str">
        <f t="shared" si="0"/>
        <v>OPP</v>
      </c>
      <c r="C22" s="2">
        <v>3.7037037037037035E-2</v>
      </c>
      <c r="D22" t="s">
        <v>15</v>
      </c>
      <c r="E22" t="s">
        <v>16</v>
      </c>
      <c r="F22" t="s">
        <v>16</v>
      </c>
    </row>
    <row r="23" spans="1:6" x14ac:dyDescent="0.25">
      <c r="A23">
        <v>21</v>
      </c>
      <c r="B23" t="str">
        <f t="shared" si="0"/>
        <v>BOP</v>
      </c>
      <c r="C23" s="2">
        <v>3.7037037037037035E-2</v>
      </c>
      <c r="D23" t="s">
        <v>6</v>
      </c>
      <c r="E23" t="s">
        <v>15</v>
      </c>
      <c r="F23" t="s">
        <v>16</v>
      </c>
    </row>
    <row r="24" spans="1:6" x14ac:dyDescent="0.25">
      <c r="A24">
        <v>22</v>
      </c>
      <c r="B24" t="str">
        <f t="shared" si="0"/>
        <v>BBP</v>
      </c>
      <c r="C24" s="2">
        <v>3.7037037037037035E-2</v>
      </c>
      <c r="D24" t="s">
        <v>6</v>
      </c>
      <c r="E24" t="s">
        <v>6</v>
      </c>
      <c r="F24" t="s">
        <v>16</v>
      </c>
    </row>
    <row r="25" spans="1:6" x14ac:dyDescent="0.25">
      <c r="A25">
        <v>23</v>
      </c>
      <c r="B25" t="str">
        <f t="shared" si="0"/>
        <v>BPP</v>
      </c>
      <c r="C25" s="2">
        <v>3.7037037037037035E-2</v>
      </c>
      <c r="D25" t="s">
        <v>6</v>
      </c>
      <c r="E25" t="s">
        <v>16</v>
      </c>
      <c r="F25" t="s">
        <v>16</v>
      </c>
    </row>
    <row r="26" spans="1:6" x14ac:dyDescent="0.25">
      <c r="A26">
        <v>24</v>
      </c>
      <c r="B26" t="str">
        <f t="shared" si="0"/>
        <v>POP</v>
      </c>
      <c r="C26" s="2">
        <v>3.7037037037037035E-2</v>
      </c>
      <c r="D26" t="s">
        <v>16</v>
      </c>
      <c r="E26" t="s">
        <v>15</v>
      </c>
      <c r="F26" t="s">
        <v>16</v>
      </c>
    </row>
    <row r="27" spans="1:6" x14ac:dyDescent="0.25">
      <c r="A27">
        <v>25</v>
      </c>
      <c r="B27" t="str">
        <f t="shared" si="0"/>
        <v>PBP</v>
      </c>
      <c r="C27" s="2">
        <v>3.7037037037037035E-2</v>
      </c>
      <c r="D27" t="s">
        <v>16</v>
      </c>
      <c r="E27" t="s">
        <v>6</v>
      </c>
      <c r="F27" t="s">
        <v>16</v>
      </c>
    </row>
    <row r="28" spans="1:6" x14ac:dyDescent="0.25">
      <c r="A28">
        <v>26</v>
      </c>
      <c r="B28" t="str">
        <f t="shared" si="0"/>
        <v>PPP</v>
      </c>
      <c r="C28" s="2">
        <v>3.7037037037037035E-2</v>
      </c>
      <c r="D28" t="s">
        <v>16</v>
      </c>
      <c r="E28" t="s">
        <v>16</v>
      </c>
      <c r="F28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6B7D-0015-408E-A9D0-05101ADD8B60}">
  <dimension ref="A1:E10"/>
  <sheetViews>
    <sheetView workbookViewId="0">
      <selection activeCell="E8" sqref="E8"/>
    </sheetView>
  </sheetViews>
  <sheetFormatPr defaultRowHeight="15" x14ac:dyDescent="0.25"/>
  <cols>
    <col min="3" max="3" width="10.140625" bestFit="1" customWidth="1"/>
    <col min="4" max="4" width="9" bestFit="1" customWidth="1"/>
    <col min="5" max="5" width="9.140625" bestFit="1" customWidth="1"/>
  </cols>
  <sheetData>
    <row r="1" spans="1:5" x14ac:dyDescent="0.25">
      <c r="A1" s="1" t="s">
        <v>1</v>
      </c>
      <c r="B1" s="1" t="s">
        <v>22</v>
      </c>
      <c r="C1" s="1" t="s">
        <v>23</v>
      </c>
      <c r="D1" s="1" t="s">
        <v>56</v>
      </c>
      <c r="E1" s="1" t="s">
        <v>57</v>
      </c>
    </row>
    <row r="2" spans="1:5" x14ac:dyDescent="0.25">
      <c r="A2">
        <v>0</v>
      </c>
      <c r="B2" t="s">
        <v>62</v>
      </c>
      <c r="C2" s="2">
        <v>1</v>
      </c>
      <c r="D2" t="s">
        <v>6</v>
      </c>
      <c r="E2" t="s">
        <v>6</v>
      </c>
    </row>
    <row r="3" spans="1:5" x14ac:dyDescent="0.25">
      <c r="C3" s="2"/>
    </row>
    <row r="4" spans="1:5" x14ac:dyDescent="0.25">
      <c r="C4" s="2"/>
    </row>
    <row r="5" spans="1:5" x14ac:dyDescent="0.25">
      <c r="C5" s="2"/>
    </row>
    <row r="6" spans="1:5" x14ac:dyDescent="0.25">
      <c r="C6" s="2"/>
    </row>
    <row r="7" spans="1:5" x14ac:dyDescent="0.25">
      <c r="C7" s="2"/>
    </row>
    <row r="8" spans="1:5" x14ac:dyDescent="0.25">
      <c r="C8" s="2"/>
    </row>
    <row r="9" spans="1:5" x14ac:dyDescent="0.25">
      <c r="C9" s="2"/>
    </row>
    <row r="10" spans="1:5" x14ac:dyDescent="0.25">
      <c r="C1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5BFB6-903F-41E7-AC5F-D6EA4CC87EB7}">
  <dimension ref="A1:G28"/>
  <sheetViews>
    <sheetView workbookViewId="0">
      <selection activeCell="D2" sqref="D2"/>
    </sheetView>
  </sheetViews>
  <sheetFormatPr defaultRowHeight="15" x14ac:dyDescent="0.25"/>
  <cols>
    <col min="3" max="3" width="10.7109375" bestFit="1" customWidth="1"/>
    <col min="4" max="4" width="11.140625" bestFit="1" customWidth="1"/>
    <col min="5" max="5" width="7.42578125" bestFit="1" customWidth="1"/>
    <col min="6" max="6" width="9.5703125" bestFit="1" customWidth="1"/>
    <col min="7" max="7" width="12.28515625" bestFit="1" customWidth="1"/>
    <col min="8" max="8" width="20.140625" bestFit="1" customWidth="1"/>
    <col min="9" max="9" width="16.28515625" bestFit="1" customWidth="1"/>
    <col min="10" max="10" width="18.5703125" bestFit="1" customWidth="1"/>
    <col min="11" max="11" width="16.28515625" bestFit="1" customWidth="1"/>
  </cols>
  <sheetData>
    <row r="1" spans="1:7" x14ac:dyDescent="0.25">
      <c r="A1" s="1" t="s">
        <v>1</v>
      </c>
      <c r="B1" s="1" t="s">
        <v>22</v>
      </c>
      <c r="C1" s="1" t="s">
        <v>23</v>
      </c>
      <c r="D1" s="1" t="s">
        <v>5</v>
      </c>
      <c r="E1" s="1" t="s">
        <v>10</v>
      </c>
      <c r="F1" s="1" t="s">
        <v>11</v>
      </c>
      <c r="G1" s="1"/>
    </row>
    <row r="2" spans="1:7" x14ac:dyDescent="0.25">
      <c r="A2">
        <v>0</v>
      </c>
      <c r="B2" t="s">
        <v>24</v>
      </c>
      <c r="C2" s="2">
        <f>1/27</f>
        <v>3.7037037037037035E-2</v>
      </c>
      <c r="D2" t="s">
        <v>15</v>
      </c>
      <c r="E2" t="s">
        <v>15</v>
      </c>
      <c r="F2" t="s">
        <v>15</v>
      </c>
    </row>
    <row r="3" spans="1:7" x14ac:dyDescent="0.25">
      <c r="A3">
        <v>1</v>
      </c>
      <c r="B3" t="s">
        <v>25</v>
      </c>
      <c r="C3" s="2">
        <f t="shared" ref="C3:C28" si="0">1/27</f>
        <v>3.7037037037037035E-2</v>
      </c>
      <c r="D3" t="s">
        <v>15</v>
      </c>
      <c r="E3" t="s">
        <v>15</v>
      </c>
      <c r="F3" t="s">
        <v>6</v>
      </c>
    </row>
    <row r="4" spans="1:7" x14ac:dyDescent="0.25">
      <c r="A4">
        <v>2</v>
      </c>
      <c r="B4" t="s">
        <v>26</v>
      </c>
      <c r="C4" s="2">
        <f t="shared" si="0"/>
        <v>3.7037037037037035E-2</v>
      </c>
      <c r="D4" t="s">
        <v>15</v>
      </c>
      <c r="E4" t="s">
        <v>15</v>
      </c>
      <c r="F4" t="s">
        <v>16</v>
      </c>
    </row>
    <row r="5" spans="1:7" x14ac:dyDescent="0.25">
      <c r="A5">
        <v>3</v>
      </c>
      <c r="B5" t="s">
        <v>27</v>
      </c>
      <c r="C5" s="2">
        <f t="shared" si="0"/>
        <v>3.7037037037037035E-2</v>
      </c>
      <c r="D5" t="s">
        <v>15</v>
      </c>
      <c r="E5" t="s">
        <v>6</v>
      </c>
      <c r="F5" t="s">
        <v>15</v>
      </c>
    </row>
    <row r="6" spans="1:7" x14ac:dyDescent="0.25">
      <c r="A6">
        <v>4</v>
      </c>
      <c r="B6" t="s">
        <v>28</v>
      </c>
      <c r="C6" s="2">
        <f t="shared" si="0"/>
        <v>3.7037037037037035E-2</v>
      </c>
      <c r="D6" t="s">
        <v>15</v>
      </c>
      <c r="E6" t="s">
        <v>6</v>
      </c>
      <c r="F6" t="s">
        <v>6</v>
      </c>
    </row>
    <row r="7" spans="1:7" x14ac:dyDescent="0.25">
      <c r="A7">
        <v>5</v>
      </c>
      <c r="B7" t="s">
        <v>29</v>
      </c>
      <c r="C7" s="2">
        <f t="shared" si="0"/>
        <v>3.7037037037037035E-2</v>
      </c>
      <c r="D7" t="s">
        <v>15</v>
      </c>
      <c r="E7" t="s">
        <v>6</v>
      </c>
      <c r="F7" t="s">
        <v>16</v>
      </c>
    </row>
    <row r="8" spans="1:7" x14ac:dyDescent="0.25">
      <c r="A8">
        <v>6</v>
      </c>
      <c r="B8" t="s">
        <v>30</v>
      </c>
      <c r="C8" s="2">
        <f t="shared" si="0"/>
        <v>3.7037037037037035E-2</v>
      </c>
      <c r="D8" t="s">
        <v>15</v>
      </c>
      <c r="E8" t="s">
        <v>16</v>
      </c>
      <c r="F8" t="s">
        <v>15</v>
      </c>
    </row>
    <row r="9" spans="1:7" x14ac:dyDescent="0.25">
      <c r="A9">
        <v>7</v>
      </c>
      <c r="B9" t="s">
        <v>31</v>
      </c>
      <c r="C9" s="2">
        <f t="shared" si="0"/>
        <v>3.7037037037037035E-2</v>
      </c>
      <c r="D9" t="s">
        <v>15</v>
      </c>
      <c r="E9" t="s">
        <v>16</v>
      </c>
      <c r="F9" t="s">
        <v>6</v>
      </c>
    </row>
    <row r="10" spans="1:7" x14ac:dyDescent="0.25">
      <c r="A10">
        <v>8</v>
      </c>
      <c r="B10" t="s">
        <v>32</v>
      </c>
      <c r="C10" s="2">
        <f t="shared" si="0"/>
        <v>3.7037037037037035E-2</v>
      </c>
      <c r="D10" t="s">
        <v>15</v>
      </c>
      <c r="E10" t="s">
        <v>16</v>
      </c>
      <c r="F10" t="s">
        <v>16</v>
      </c>
    </row>
    <row r="11" spans="1:7" x14ac:dyDescent="0.25">
      <c r="A11">
        <v>9</v>
      </c>
      <c r="B11" t="s">
        <v>33</v>
      </c>
      <c r="C11" s="2">
        <f t="shared" si="0"/>
        <v>3.7037037037037035E-2</v>
      </c>
      <c r="D11" t="s">
        <v>6</v>
      </c>
      <c r="E11" t="s">
        <v>15</v>
      </c>
      <c r="F11" t="s">
        <v>15</v>
      </c>
    </row>
    <row r="12" spans="1:7" x14ac:dyDescent="0.25">
      <c r="A12">
        <v>10</v>
      </c>
      <c r="B12" t="s">
        <v>34</v>
      </c>
      <c r="C12" s="2">
        <f t="shared" si="0"/>
        <v>3.7037037037037035E-2</v>
      </c>
      <c r="D12" t="s">
        <v>6</v>
      </c>
      <c r="E12" t="s">
        <v>15</v>
      </c>
      <c r="F12" t="s">
        <v>6</v>
      </c>
    </row>
    <row r="13" spans="1:7" x14ac:dyDescent="0.25">
      <c r="A13">
        <v>11</v>
      </c>
      <c r="B13" t="s">
        <v>35</v>
      </c>
      <c r="C13" s="2">
        <f t="shared" si="0"/>
        <v>3.7037037037037035E-2</v>
      </c>
      <c r="D13" t="s">
        <v>6</v>
      </c>
      <c r="E13" t="s">
        <v>15</v>
      </c>
      <c r="F13" t="s">
        <v>16</v>
      </c>
    </row>
    <row r="14" spans="1:7" x14ac:dyDescent="0.25">
      <c r="A14">
        <v>12</v>
      </c>
      <c r="B14" t="s">
        <v>36</v>
      </c>
      <c r="C14" s="2">
        <f t="shared" si="0"/>
        <v>3.7037037037037035E-2</v>
      </c>
      <c r="D14" t="s">
        <v>6</v>
      </c>
      <c r="E14" t="s">
        <v>6</v>
      </c>
      <c r="F14" t="s">
        <v>15</v>
      </c>
    </row>
    <row r="15" spans="1:7" x14ac:dyDescent="0.25">
      <c r="A15">
        <v>13</v>
      </c>
      <c r="B15" t="s">
        <v>37</v>
      </c>
      <c r="C15" s="2">
        <f t="shared" si="0"/>
        <v>3.7037037037037035E-2</v>
      </c>
      <c r="D15" t="s">
        <v>6</v>
      </c>
      <c r="E15" t="s">
        <v>6</v>
      </c>
      <c r="F15" t="s">
        <v>6</v>
      </c>
    </row>
    <row r="16" spans="1:7" x14ac:dyDescent="0.25">
      <c r="A16">
        <v>14</v>
      </c>
      <c r="B16" t="s">
        <v>38</v>
      </c>
      <c r="C16" s="2">
        <f t="shared" si="0"/>
        <v>3.7037037037037035E-2</v>
      </c>
      <c r="D16" t="s">
        <v>6</v>
      </c>
      <c r="E16" t="s">
        <v>6</v>
      </c>
      <c r="F16" t="s">
        <v>16</v>
      </c>
    </row>
    <row r="17" spans="1:6" x14ac:dyDescent="0.25">
      <c r="A17">
        <v>15</v>
      </c>
      <c r="B17" t="s">
        <v>39</v>
      </c>
      <c r="C17" s="2">
        <f t="shared" si="0"/>
        <v>3.7037037037037035E-2</v>
      </c>
      <c r="D17" t="s">
        <v>6</v>
      </c>
      <c r="E17" t="s">
        <v>16</v>
      </c>
      <c r="F17" t="s">
        <v>15</v>
      </c>
    </row>
    <row r="18" spans="1:6" x14ac:dyDescent="0.25">
      <c r="A18">
        <v>16</v>
      </c>
      <c r="B18" t="s">
        <v>40</v>
      </c>
      <c r="C18" s="2">
        <f t="shared" si="0"/>
        <v>3.7037037037037035E-2</v>
      </c>
      <c r="D18" t="s">
        <v>6</v>
      </c>
      <c r="E18" t="s">
        <v>16</v>
      </c>
      <c r="F18" t="s">
        <v>6</v>
      </c>
    </row>
    <row r="19" spans="1:6" x14ac:dyDescent="0.25">
      <c r="A19">
        <v>17</v>
      </c>
      <c r="B19" t="s">
        <v>41</v>
      </c>
      <c r="C19" s="2">
        <f t="shared" si="0"/>
        <v>3.7037037037037035E-2</v>
      </c>
      <c r="D19" t="s">
        <v>6</v>
      </c>
      <c r="E19" t="s">
        <v>16</v>
      </c>
      <c r="F19" t="s">
        <v>16</v>
      </c>
    </row>
    <row r="20" spans="1:6" x14ac:dyDescent="0.25">
      <c r="A20">
        <v>18</v>
      </c>
      <c r="B20" t="s">
        <v>42</v>
      </c>
      <c r="C20" s="2">
        <f t="shared" si="0"/>
        <v>3.7037037037037035E-2</v>
      </c>
      <c r="D20" t="s">
        <v>16</v>
      </c>
      <c r="E20" t="s">
        <v>15</v>
      </c>
      <c r="F20" t="s">
        <v>15</v>
      </c>
    </row>
    <row r="21" spans="1:6" x14ac:dyDescent="0.25">
      <c r="A21">
        <v>19</v>
      </c>
      <c r="B21" t="s">
        <v>43</v>
      </c>
      <c r="C21" s="2">
        <f t="shared" si="0"/>
        <v>3.7037037037037035E-2</v>
      </c>
      <c r="D21" t="s">
        <v>16</v>
      </c>
      <c r="E21" t="s">
        <v>15</v>
      </c>
      <c r="F21" t="s">
        <v>6</v>
      </c>
    </row>
    <row r="22" spans="1:6" x14ac:dyDescent="0.25">
      <c r="A22">
        <v>20</v>
      </c>
      <c r="B22" t="s">
        <v>44</v>
      </c>
      <c r="C22" s="2">
        <f t="shared" si="0"/>
        <v>3.7037037037037035E-2</v>
      </c>
      <c r="D22" t="s">
        <v>16</v>
      </c>
      <c r="E22" t="s">
        <v>15</v>
      </c>
      <c r="F22" t="s">
        <v>16</v>
      </c>
    </row>
    <row r="23" spans="1:6" x14ac:dyDescent="0.25">
      <c r="A23">
        <v>21</v>
      </c>
      <c r="B23" t="s">
        <v>45</v>
      </c>
      <c r="C23" s="2">
        <f t="shared" si="0"/>
        <v>3.7037037037037035E-2</v>
      </c>
      <c r="D23" t="s">
        <v>16</v>
      </c>
      <c r="E23" t="s">
        <v>6</v>
      </c>
      <c r="F23" t="s">
        <v>15</v>
      </c>
    </row>
    <row r="24" spans="1:6" x14ac:dyDescent="0.25">
      <c r="A24">
        <v>22</v>
      </c>
      <c r="B24" t="s">
        <v>46</v>
      </c>
      <c r="C24" s="2">
        <f t="shared" si="0"/>
        <v>3.7037037037037035E-2</v>
      </c>
      <c r="D24" t="s">
        <v>16</v>
      </c>
      <c r="E24" t="s">
        <v>6</v>
      </c>
      <c r="F24" t="s">
        <v>6</v>
      </c>
    </row>
    <row r="25" spans="1:6" x14ac:dyDescent="0.25">
      <c r="A25">
        <v>23</v>
      </c>
      <c r="B25" t="s">
        <v>47</v>
      </c>
      <c r="C25" s="2">
        <f t="shared" si="0"/>
        <v>3.7037037037037035E-2</v>
      </c>
      <c r="D25" t="s">
        <v>16</v>
      </c>
      <c r="E25" t="s">
        <v>6</v>
      </c>
      <c r="F25" t="s">
        <v>16</v>
      </c>
    </row>
    <row r="26" spans="1:6" x14ac:dyDescent="0.25">
      <c r="A26">
        <v>24</v>
      </c>
      <c r="B26" t="s">
        <v>48</v>
      </c>
      <c r="C26" s="2">
        <f t="shared" si="0"/>
        <v>3.7037037037037035E-2</v>
      </c>
      <c r="D26" t="s">
        <v>16</v>
      </c>
      <c r="E26" t="s">
        <v>16</v>
      </c>
      <c r="F26" t="s">
        <v>15</v>
      </c>
    </row>
    <row r="27" spans="1:6" x14ac:dyDescent="0.25">
      <c r="A27">
        <v>25</v>
      </c>
      <c r="B27" t="s">
        <v>49</v>
      </c>
      <c r="C27" s="2">
        <f t="shared" si="0"/>
        <v>3.7037037037037035E-2</v>
      </c>
      <c r="D27" t="s">
        <v>16</v>
      </c>
      <c r="E27" t="s">
        <v>16</v>
      </c>
      <c r="F27" t="s">
        <v>6</v>
      </c>
    </row>
    <row r="28" spans="1:6" x14ac:dyDescent="0.25">
      <c r="A28">
        <v>26</v>
      </c>
      <c r="B28" t="s">
        <v>50</v>
      </c>
      <c r="C28" s="2">
        <f t="shared" si="0"/>
        <v>3.7037037037037035E-2</v>
      </c>
      <c r="D28" t="s">
        <v>16</v>
      </c>
      <c r="E28" t="s">
        <v>16</v>
      </c>
      <c r="F28" t="s">
        <v>16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497E-5D9C-4120-B481-003A7184F3D7}">
  <dimension ref="A1:K10"/>
  <sheetViews>
    <sheetView workbookViewId="0">
      <selection activeCell="H16" sqref="H16"/>
    </sheetView>
  </sheetViews>
  <sheetFormatPr defaultRowHeight="15" x14ac:dyDescent="0.25"/>
  <cols>
    <col min="2" max="2" width="6.28515625" bestFit="1" customWidth="1"/>
    <col min="3" max="3" width="12" bestFit="1" customWidth="1"/>
    <col min="4" max="4" width="11.140625" bestFit="1" customWidth="1"/>
    <col min="5" max="5" width="7.42578125" bestFit="1" customWidth="1"/>
    <col min="6" max="6" width="9.5703125" bestFit="1" customWidth="1"/>
  </cols>
  <sheetData>
    <row r="1" spans="1:11" x14ac:dyDescent="0.25">
      <c r="A1" s="1" t="s">
        <v>1</v>
      </c>
      <c r="B1" s="1" t="s">
        <v>22</v>
      </c>
      <c r="C1" s="1" t="s">
        <v>23</v>
      </c>
      <c r="D1" s="1" t="s">
        <v>5</v>
      </c>
      <c r="E1" s="1" t="s">
        <v>10</v>
      </c>
      <c r="F1" s="1" t="s">
        <v>11</v>
      </c>
      <c r="G1" s="1"/>
      <c r="H1" s="1"/>
      <c r="I1" s="1"/>
      <c r="J1" s="1"/>
      <c r="K1" s="1"/>
    </row>
    <row r="2" spans="1:11" x14ac:dyDescent="0.25">
      <c r="A2">
        <v>0</v>
      </c>
      <c r="B2" t="s">
        <v>37</v>
      </c>
      <c r="C2">
        <f>1/9</f>
        <v>0.1111111111111111</v>
      </c>
      <c r="D2" t="s">
        <v>6</v>
      </c>
      <c r="E2" t="s">
        <v>6</v>
      </c>
      <c r="F2" t="s">
        <v>6</v>
      </c>
    </row>
    <row r="3" spans="1:11" x14ac:dyDescent="0.25">
      <c r="A3">
        <v>1</v>
      </c>
      <c r="B3" t="s">
        <v>24</v>
      </c>
      <c r="C3">
        <f t="shared" ref="C3:C10" si="0">1/9</f>
        <v>0.1111111111111111</v>
      </c>
      <c r="D3" t="s">
        <v>15</v>
      </c>
      <c r="E3" t="s">
        <v>15</v>
      </c>
      <c r="F3" t="s">
        <v>15</v>
      </c>
    </row>
    <row r="4" spans="1:11" x14ac:dyDescent="0.25">
      <c r="A4">
        <v>2</v>
      </c>
      <c r="B4" t="s">
        <v>26</v>
      </c>
      <c r="C4">
        <f t="shared" si="0"/>
        <v>0.1111111111111111</v>
      </c>
      <c r="D4" t="s">
        <v>15</v>
      </c>
      <c r="E4" t="s">
        <v>15</v>
      </c>
      <c r="F4" t="s">
        <v>16</v>
      </c>
    </row>
    <row r="5" spans="1:11" x14ac:dyDescent="0.25">
      <c r="A5">
        <v>3</v>
      </c>
      <c r="B5" t="s">
        <v>30</v>
      </c>
      <c r="C5">
        <f t="shared" si="0"/>
        <v>0.1111111111111111</v>
      </c>
      <c r="D5" t="s">
        <v>15</v>
      </c>
      <c r="E5" t="s">
        <v>16</v>
      </c>
      <c r="F5" t="s">
        <v>15</v>
      </c>
    </row>
    <row r="6" spans="1:11" x14ac:dyDescent="0.25">
      <c r="A6">
        <v>4</v>
      </c>
      <c r="B6" t="s">
        <v>32</v>
      </c>
      <c r="C6">
        <f t="shared" si="0"/>
        <v>0.1111111111111111</v>
      </c>
      <c r="D6" t="s">
        <v>15</v>
      </c>
      <c r="E6" t="s">
        <v>16</v>
      </c>
      <c r="F6" t="s">
        <v>16</v>
      </c>
    </row>
    <row r="7" spans="1:11" x14ac:dyDescent="0.25">
      <c r="A7">
        <v>5</v>
      </c>
      <c r="B7" t="s">
        <v>42</v>
      </c>
      <c r="C7">
        <f t="shared" si="0"/>
        <v>0.1111111111111111</v>
      </c>
      <c r="D7" t="s">
        <v>16</v>
      </c>
      <c r="E7" t="s">
        <v>15</v>
      </c>
      <c r="F7" t="s">
        <v>15</v>
      </c>
    </row>
    <row r="8" spans="1:11" x14ac:dyDescent="0.25">
      <c r="A8">
        <v>6</v>
      </c>
      <c r="B8" t="s">
        <v>44</v>
      </c>
      <c r="C8">
        <f t="shared" si="0"/>
        <v>0.1111111111111111</v>
      </c>
      <c r="D8" t="s">
        <v>16</v>
      </c>
      <c r="E8" t="s">
        <v>15</v>
      </c>
      <c r="F8" t="s">
        <v>16</v>
      </c>
    </row>
    <row r="9" spans="1:11" x14ac:dyDescent="0.25">
      <c r="A9">
        <v>7</v>
      </c>
      <c r="B9" t="s">
        <v>48</v>
      </c>
      <c r="C9">
        <f t="shared" si="0"/>
        <v>0.1111111111111111</v>
      </c>
      <c r="D9" t="s">
        <v>16</v>
      </c>
      <c r="E9" t="s">
        <v>16</v>
      </c>
      <c r="F9" t="s">
        <v>15</v>
      </c>
    </row>
    <row r="10" spans="1:11" x14ac:dyDescent="0.25">
      <c r="A10">
        <v>8</v>
      </c>
      <c r="B10" t="s">
        <v>50</v>
      </c>
      <c r="C10">
        <f t="shared" si="0"/>
        <v>0.1111111111111111</v>
      </c>
      <c r="D10" t="s">
        <v>16</v>
      </c>
      <c r="E10" t="s">
        <v>16</v>
      </c>
      <c r="F10" t="s">
        <v>16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80BE-5606-40D4-8893-B1262E6F265B}">
  <dimension ref="A1:K28"/>
  <sheetViews>
    <sheetView workbookViewId="0">
      <selection activeCell="G30" sqref="G30"/>
    </sheetView>
  </sheetViews>
  <sheetFormatPr defaultRowHeight="15" x14ac:dyDescent="0.25"/>
  <cols>
    <col min="3" max="3" width="10.7109375" bestFit="1" customWidth="1"/>
    <col min="4" max="4" width="16.140625" bestFit="1" customWidth="1"/>
    <col min="5" max="5" width="12.28515625" bestFit="1" customWidth="1"/>
    <col min="6" max="6" width="14.5703125" bestFit="1" customWidth="1"/>
    <col min="7" max="7" width="12.28515625" bestFit="1" customWidth="1"/>
    <col min="8" max="8" width="20.140625" bestFit="1" customWidth="1"/>
    <col min="9" max="9" width="16.28515625" bestFit="1" customWidth="1"/>
    <col min="10" max="10" width="18.5703125" bestFit="1" customWidth="1"/>
    <col min="11" max="11" width="16.28515625" bestFit="1" customWidth="1"/>
  </cols>
  <sheetData>
    <row r="1" spans="1:11" x14ac:dyDescent="0.25">
      <c r="A1" s="1" t="s">
        <v>1</v>
      </c>
      <c r="B1" s="1" t="s">
        <v>22</v>
      </c>
      <c r="C1" s="1" t="s">
        <v>23</v>
      </c>
      <c r="D1" s="1" t="s">
        <v>5</v>
      </c>
      <c r="E1" s="1" t="s">
        <v>10</v>
      </c>
      <c r="F1" s="1" t="s">
        <v>11</v>
      </c>
      <c r="G1" s="1"/>
      <c r="H1" s="1"/>
      <c r="I1" s="1"/>
      <c r="J1" s="1"/>
      <c r="K1" s="1"/>
    </row>
    <row r="2" spans="1:11" x14ac:dyDescent="0.25">
      <c r="A2">
        <v>0</v>
      </c>
      <c r="B2" t="s">
        <v>42</v>
      </c>
      <c r="C2" s="2">
        <f>1/4</f>
        <v>0.25</v>
      </c>
      <c r="D2" t="s">
        <v>16</v>
      </c>
      <c r="E2" t="s">
        <v>15</v>
      </c>
      <c r="F2" t="s">
        <v>15</v>
      </c>
    </row>
    <row r="3" spans="1:11" x14ac:dyDescent="0.25">
      <c r="A3">
        <v>1</v>
      </c>
      <c r="B3" t="s">
        <v>30</v>
      </c>
      <c r="C3" s="2">
        <f t="shared" ref="C3:C5" si="0">1/4</f>
        <v>0.25</v>
      </c>
      <c r="D3" t="s">
        <v>15</v>
      </c>
      <c r="E3" t="s">
        <v>16</v>
      </c>
      <c r="F3" t="s">
        <v>15</v>
      </c>
    </row>
    <row r="4" spans="1:11" x14ac:dyDescent="0.25">
      <c r="A4">
        <v>2</v>
      </c>
      <c r="B4" t="s">
        <v>26</v>
      </c>
      <c r="C4" s="2">
        <f t="shared" si="0"/>
        <v>0.25</v>
      </c>
      <c r="D4" t="s">
        <v>15</v>
      </c>
      <c r="E4" t="s">
        <v>15</v>
      </c>
      <c r="F4" t="s">
        <v>16</v>
      </c>
    </row>
    <row r="5" spans="1:11" x14ac:dyDescent="0.25">
      <c r="A5">
        <v>3</v>
      </c>
      <c r="B5" t="s">
        <v>37</v>
      </c>
      <c r="C5" s="2">
        <f t="shared" si="0"/>
        <v>0.25</v>
      </c>
      <c r="D5" t="s">
        <v>6</v>
      </c>
      <c r="E5" t="s">
        <v>6</v>
      </c>
      <c r="F5" t="s">
        <v>6</v>
      </c>
    </row>
    <row r="6" spans="1:11" x14ac:dyDescent="0.25">
      <c r="C6" s="2"/>
    </row>
    <row r="7" spans="1:11" x14ac:dyDescent="0.25">
      <c r="C7" s="2"/>
    </row>
    <row r="8" spans="1:11" x14ac:dyDescent="0.25">
      <c r="C8" s="2"/>
    </row>
    <row r="9" spans="1:11" x14ac:dyDescent="0.25">
      <c r="C9" s="2"/>
    </row>
    <row r="10" spans="1:11" x14ac:dyDescent="0.25">
      <c r="C10" s="2"/>
    </row>
    <row r="11" spans="1:11" x14ac:dyDescent="0.25">
      <c r="C11" s="2"/>
    </row>
    <row r="12" spans="1:11" x14ac:dyDescent="0.25">
      <c r="C12" s="2"/>
    </row>
    <row r="13" spans="1:11" x14ac:dyDescent="0.25">
      <c r="C13" s="2"/>
    </row>
    <row r="14" spans="1:11" x14ac:dyDescent="0.25">
      <c r="C14" s="2"/>
    </row>
    <row r="15" spans="1:11" x14ac:dyDescent="0.25">
      <c r="C15" s="2"/>
    </row>
    <row r="16" spans="1:11" x14ac:dyDescent="0.25">
      <c r="C16" s="2"/>
    </row>
    <row r="17" spans="3:3" x14ac:dyDescent="0.25">
      <c r="C17" s="2"/>
    </row>
    <row r="18" spans="3:3" x14ac:dyDescent="0.25">
      <c r="C18" s="2"/>
    </row>
    <row r="19" spans="3:3" x14ac:dyDescent="0.25">
      <c r="C19" s="2"/>
    </row>
    <row r="20" spans="3:3" x14ac:dyDescent="0.25">
      <c r="C20" s="2"/>
    </row>
    <row r="21" spans="3:3" x14ac:dyDescent="0.25">
      <c r="C21" s="2"/>
    </row>
    <row r="22" spans="3:3" x14ac:dyDescent="0.25">
      <c r="C22" s="2"/>
    </row>
    <row r="23" spans="3:3" x14ac:dyDescent="0.25">
      <c r="C23" s="2"/>
    </row>
    <row r="24" spans="3:3" x14ac:dyDescent="0.25">
      <c r="C24" s="2"/>
    </row>
    <row r="25" spans="3:3" x14ac:dyDescent="0.25">
      <c r="C25" s="2"/>
    </row>
    <row r="26" spans="3:3" x14ac:dyDescent="0.25">
      <c r="C26" s="2"/>
    </row>
    <row r="27" spans="3:3" x14ac:dyDescent="0.25">
      <c r="C27" s="2"/>
    </row>
    <row r="28" spans="3:3" x14ac:dyDescent="0.25">
      <c r="C28" s="2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01C7-0A25-459C-A739-C90077084666}">
  <dimension ref="A1:L2"/>
  <sheetViews>
    <sheetView workbookViewId="0">
      <selection activeCell="G15" sqref="G15"/>
    </sheetView>
  </sheetViews>
  <sheetFormatPr defaultRowHeight="15" x14ac:dyDescent="0.25"/>
  <cols>
    <col min="2" max="2" width="6.28515625" bestFit="1" customWidth="1"/>
    <col min="3" max="3" width="10.7109375" bestFit="1" customWidth="1"/>
    <col min="4" max="4" width="11.140625" bestFit="1" customWidth="1"/>
    <col min="5" max="5" width="9.140625" bestFit="1" customWidth="1"/>
    <col min="6" max="6" width="9.5703125" bestFit="1" customWidth="1"/>
  </cols>
  <sheetData>
    <row r="1" spans="1:12" x14ac:dyDescent="0.25">
      <c r="A1" s="1" t="s">
        <v>1</v>
      </c>
      <c r="B1" s="1" t="s">
        <v>22</v>
      </c>
      <c r="C1" s="1" t="s">
        <v>23</v>
      </c>
      <c r="D1" s="1" t="s">
        <v>56</v>
      </c>
      <c r="E1" s="1" t="s">
        <v>57</v>
      </c>
      <c r="F1" s="1"/>
      <c r="G1" s="1"/>
      <c r="H1" s="1"/>
      <c r="I1" s="1"/>
      <c r="J1" s="1"/>
      <c r="K1" s="1"/>
      <c r="L1" s="1"/>
    </row>
    <row r="2" spans="1:12" x14ac:dyDescent="0.25">
      <c r="A2">
        <v>0</v>
      </c>
      <c r="B2" t="s">
        <v>62</v>
      </c>
      <c r="C2" s="2">
        <v>1</v>
      </c>
      <c r="D2" t="s">
        <v>6</v>
      </c>
      <c r="E2" t="s">
        <v>6</v>
      </c>
      <c r="I2" s="2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D1424-7946-4BE5-99E5-DF2D4339CAC6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>
        <v>0.25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cost_factor</vt:lpstr>
      <vt:lpstr>demand_factor</vt:lpstr>
      <vt:lpstr>fuel_scenarios</vt:lpstr>
      <vt:lpstr>fuel_scenarios_5</vt:lpstr>
      <vt:lpstr>fuel_scenarios_demand</vt:lpstr>
      <vt:lpstr>fuel_scenario_det</vt:lpstr>
      <vt:lpstr>scenarios_base</vt:lpstr>
      <vt:lpstr>nine_scenarios</vt:lpstr>
      <vt:lpstr>four_scenarios</vt:lpstr>
      <vt:lpstr>EV_scenario</vt:lpstr>
      <vt:lpstr>variability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Ruben van Beesten</dc:creator>
  <cp:keywords/>
  <dc:description/>
  <cp:lastModifiedBy>Steffen J.S. Bakker</cp:lastModifiedBy>
  <cp:revision/>
  <dcterms:created xsi:type="dcterms:W3CDTF">2015-06-05T18:19:34Z</dcterms:created>
  <dcterms:modified xsi:type="dcterms:W3CDTF">2024-12-04T07:10:56Z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2023-09-29T12:15:17Z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63e6bb7d-3c49-4053-87ee-9c6197159abd</vt:lpwstr>
  </property>
  <property fmtid="{D5CDD505-2E9C-101B-9397-08002B2CF9AE}" pid="8" name="MSIP_Label_8772ba27-cab8-4042-a351-a31f6e4eacdc_ContentBits">
    <vt:lpwstr>0</vt:lpwstr>
  </property>
</Properties>
</file>